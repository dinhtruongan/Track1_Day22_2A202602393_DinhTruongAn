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754c63f7e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eaa215eacf844071"/>
    <x:sheet xmlns:r="http://schemas.openxmlformats.org/officeDocument/2006/relationships" name="1_Cost_Job" sheetId="2" r:id="R0e7a45525fbb4566"/>
    <x:sheet xmlns:r="http://schemas.openxmlformats.org/officeDocument/2006/relationships" name="2_Pricing" sheetId="3" r:id="R4651c7a74b3643a3"/>
    <x:sheet xmlns:r="http://schemas.openxmlformats.org/officeDocument/2006/relationships" name="3_Value_Metric" sheetId="4" r:id="R5d9201318b7e4d68"/>
    <x:sheet xmlns:r="http://schemas.openxmlformats.org/officeDocument/2006/relationships" name="4_Channel_Fit" sheetId="5" r:id="R74f4db28d42b46b4"/>
    <x:sheet xmlns:r="http://schemas.openxmlformats.org/officeDocument/2006/relationships" name="5_90Day_Plan" sheetId="6" r:id="Rd266e373d0dc4c16"/>
    <x:sheet xmlns:r="http://schemas.openxmlformats.org/officeDocument/2006/relationships" name="6_Benchmarks" sheetId="7" r:id="R79b4ccda43e24fcb"/>
  </x:sheets>
</x: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======
ID#AAACIQEOV6c
Unknown Author    (2026-10-08 02:20:56)
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<x:sst xmlns:x="http://schemas.openxmlformats.org/spreadsheetml/2006/main">
  <x:si>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DAY 28 — MONETIZATION MODEL</x:t>
  </x:si>
  <x:si>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</x:si>
  <x:si>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</x:si>
  <x:si>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</x:si>
  <x:si>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</x:si>
  <x:si>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</x:si>
  <x:si>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</x:si>
  <x:si>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</x:si>
  <x:si>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</x:si>
  <x:si>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</x:si>
  <x:si>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</x:si>
  <x:si>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</x:si>
  <x:si>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</x:si>
  <x:si>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</x:si>
  <x:si>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</x:si>
  <x:si>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</x:si>
  <x:si>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</x:si>
  <x:si>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</x:si>
  <x:si>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</x:si>
  <x:si>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</x:si>
  <x:si>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</x:si>
  <x:si>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</x:si>
  <x:si>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</x:si>
  <x:si>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</x:si>
  <x:si>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</x:si>
  <x:si>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</x:si>
  <x:si>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</x:si>
  <x:si>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</x:si>
  <x:si>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Giá tham chiếu trong workbook này được chốt ngày 26/08/2026. Nhiều mức giá là KHUYẾN MẠI CÓ HẠN.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</x:si>
  <x:si>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</x:si>
  <x:si>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</x:si>
  <x:si>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</x:si>
  <x:si>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</x:si>
  <x:si>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</x:si>
  <x:si>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Phải là thứ KHÁCH coi là giá trị — không phải '1 request'</x:t>
  </x:si>
  <x:si>
    <x:t xml:space="preserve">Biến thể HITL: A hay B?</x:t>
  </x:si>
  <x:si>
    <x:t xml:space="preserve">A = khách tự xử lý ca escalate · B = BẠN chịu (outcome/managed)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</x:si>
  <x:si>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</x:si>
  <x:si>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</x:si>
  <x:si>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</x:si>
  <x:si>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</x:si>
  <x:si>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Chưa đo → ước tính và ghi rõ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</x:si>
  <x:si>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</x:si>
  <x:si>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</x:si>
  <x:si>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</x:si>
  <x:si>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</x:si>
  <x:si>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</x:si>
  <x:si>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</x:si>
  <x:si>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Claude Haiku 4.5 — xem tab 6_Benchmarks</x:t>
  </x:si>
  <x:si>
    <x:t xml:space="preserve">Giá output ($ / 1M token)</x:t>
  </x:si>
  <x:si>
    <x:t xml:space="preserve">Giá cache WRITE ($ / 1M token)</x:t>
  </x:si>
  <x:si>
    <x:t xml:space="preserve">Anthropic 5-phút = 1,25× input</x:t>
  </x:si>
  <x:si>
    <x:t xml:space="preserve">Giá cache READ ($ / 1M token)</x:t>
  </x:si>
  <x:si>
    <x:t xml:space="preserve">≈ 0,1× input (giảm 90%)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</x:si>
  <x:si>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</x:si>
  <x:si>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</x:si>
  <x:si>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</x:si>
  <x:si>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</x:si>
  <x:si>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System prompt + KB + few-shot</x:t>
  </x:si>
  <x:si>
    <x:t xml:space="preserve">Token input FRESH / lượt</x:t>
  </x:si>
  <x:si>
    <x:t xml:space="preserve">Câu hỏi khách + dữ liệu động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</x:si>
  <x:si>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</x:si>
  <x:si>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</x:si>
  <x:si>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</x:si>
  <x:si>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</x:si>
  <x:si>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</x:si>
  <x:si>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</x:si>
  <x:si>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</x:si>
  <x:si>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</x:si>
  <x:si>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</x:si>
  <x:si>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</x:si>
  <x:si>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</x:si>
  <x:si>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</x:si>
  <x:si>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</x:si>
  <x:si>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</x:si>
  <x:si>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Deepgram streaming list $0,0077/phút</x:t>
  </x:si>
  <x:si>
    <x:t xml:space="preserve">Số phút audio / job</x:t>
  </x:si>
  <x:si>
    <x:t xml:space="preserve">phút</x:t>
  </x:si>
  <x:si>
    <x:t xml:space="preserve">Giá TTS ($ / 1M ký tự)</x:t>
  </x:si>
  <x:si>
    <x:t xml:space="preserve">ElevenLabs Flash $50 · Google Standard $4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</x:si>
  <x:si>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</x:si>
  <x:si>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</x:si>
  <x:si>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</x:si>
  <x:si>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</x:si>
  <x:si>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</x:si>
  <x:si>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</x:si>
  <x:si>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Vector DB, embedding, storage, logging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</x:si>
  <x:si>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</x:si>
  <x:si>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</x:si>
  <x:si>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</x:si>
  <x:si>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</x:si>
  <x:si>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ĐỪNG để 0%. Thực tế 5–10% là bình thường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</x:si>
  <x:si>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</x:si>
  <x:si>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</x:si>
  <x:si>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</x:si>
  <x:si>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Gồm lương + bảo hiểm + quản lý + chỗ ngồi</x:t>
  </x:si>
  <x:si>
    <x:t xml:space="preserve">% hội thoại QA nội bộ</x:t>
  </x:si>
  <x:si>
    <x:t xml:space="preserve">Luôn có, kể cả Biến thể A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</x:si>
  <x:si>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</x:si>
  <x:si>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</x:si>
  <x:si>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</x:si>
  <x:si>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</x:si>
  <x:si>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</x:si>
  <x:si>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</x:si>
  <x:si>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</x:si>
  <x:si>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</x:si>
  <x:si>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Để 0 nếu chỉ muốn xem Cost/Job thuần COGS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</x:si>
  <x:si>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</x:si>
  <x:si>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</x:si>
  <x:si>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</x:si>
  <x:si>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</x:si>
  <x:si>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</x:si>
  <x:si>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</x:si>
  <x:si>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</x:si>
  <x:si>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</x:si>
  <x:si>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</x:si>
  <x:si>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</x:si>
  <x:si>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</x:si>
  <x:si>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Thay bằng tỷ giá thực tế khi làm bài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</x:si>
  <x:si>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</x:si>
  <x:si>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</x:si>
  <x:si>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</x:si>
  <x:si>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</x:si>
  <x:si>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</x:si>
  <x:si>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</x:si>
  <x:si>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</x:si>
  <x:si>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</x:si>
  <x:si>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</x:si>
  <x:si>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</x:si>
  <x:si>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</x:si>
  <x:si>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</x:si>
  <x:si>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</x:si>
  <x:si>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</x:si>
  <x:si>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</x:si>
  <x:si>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</x:si>
  <x:si>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</x:si>
  <x:si>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</x:si>
  <x:si>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</x:si>
  <x:si>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</x:si>
  <x:si>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Neo theo giá trị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</x:si>
  <x:si>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</x:si>
  <x:si>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</x:si>
  <x:si>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</x:si>
  <x:si>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</x:si>
  <x:si>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Neo theo nhân công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</x:si>
  <x:si>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</x:si>
  <x:si>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</x:si>
  <x:si>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</x:si>
  <x:si>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</x:si>
  <x:si>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Tham chiếu: Intercom Fin $0,99 · Zendesk $1,50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</x:si>
  <x:si>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</x:si>
  <x:si>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</x:si>
  <x:si>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</x:si>
  <x:si>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</x:si>
  <x:si>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</x:si>
  <x:si>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</x:si>
  <x:si>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</x:si>
  <x:si>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</x:si>
  <x:si>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</x:si>
  <x:si>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</x:si>
  <x:si>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</x:si>
  <x:si>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</x:si>
  <x:si>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</x:si>
  <x:si>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</x:si>
  <x:si>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</x:si>
  <x:si>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</x:si>
  <x:si>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</x:si>
  <x:si>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</x:si>
  <x:si>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</x:si>
  <x:si>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</x:si>
  <x:si>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</x:si>
  <x:si>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Nhìn cột Gross Margin: mô hình của bạn mong manh đến mức nào khi AI làm sai nhiều hơn dự kiến?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</x:si>
  <x:si>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</x:si>
  <x:si>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</x:si>
  <x:si>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</x:si>
  <x:si>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</x:si>
  <x:si>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</x:si>
  <x:si>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</x:si>
  <x:si>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</x:si>
  <x:si>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</x:si>
  <x:si>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</x:si>
  <x:si>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</x:si>
  <x:si>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</x:si>
  <x:si>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</x:si>
  <x:si>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</x:si>
  <x:si>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</x:si>
  <x:si>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</x:si>
  <x:si>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</x:si>
  <x:si>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</x:si>
  <x:si>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</x:si>
  <x:si>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</x:si>
  <x:si>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</x:si>
  <x:si>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</x:si>
  <x:si>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</x:si>
  <x:si>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</x:si>
  <x:si>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</x:si>
  <x:si>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</x:si>
  <x:si>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</x:si>
  <x:si>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</x:si>
  <x:si>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</x:si>
  <x:si>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</x:si>
  <x:si>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</x:si>
  <x:si>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</x:si>
  <x:si>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</x:si>
  <x:si>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</x:si>
  <x:si>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</x:si>
  <x:si>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</x:si>
  <x:si>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</x:si>
  <x:si>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</x:si>
  <x:si>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</x:si>
  <x:si>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</x:si>
  <x:si>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</x:si>
  <x:si>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</x:si>
  <x:si>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</x:si>
  <x:si>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</x:si>
  <x:si>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</x:si>
  <x:si>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</x:si>
  <x:si>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</x:si>
  <x:si>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</x:si>
  <x:si>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</x:si>
  <x:si>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Giả định gốc của Tunguz (2016) — thay bằng số thị trường bạn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</x:si>
  <x:si>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</x:si>
  <x:si>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</x:si>
  <x:si>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</x:si>
  <x:si>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</x:si>
  <x:si>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</x:si>
  <x:si>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</x:si>
  <x:si>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</x:si>
  <x:si>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</x:si>
  <x:si>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ICONIQ 2026 theo phân khúc: $6.300 · $8.000 · $11.200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</x:si>
  <x:si>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</x:si>
  <x:si>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</x:si>
  <x:si>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</x:si>
  <x:si>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</x:si>
  <x:si>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</x:si>
  <x:si>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</x:si>
  <x:si>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</x:si>
  <x:si>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</x:si>
  <x:si>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</x:si>
  <x:si>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</x:si>
  <x:si>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</x:si>
  <x:si>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</x:si>
  <x:si>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</x:si>
  <x:si>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</x:si>
  <x:si>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</x:si>
  <x:si>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</x:si>
  <x:si>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</x:si>
  <x:si>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</x:si>
  <x:si>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</x:si>
  <x:si>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</x:si>
  <x:si>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</x:si>
  <x:si>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</x:si>
  <x:si>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</x:si>
  <x:si>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</x:si>
  <x:si>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</x:si>
  <x:si>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</x:si>
  <x:si>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</x:si>
  <x:si>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</x:si>
  <x:si>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</x:si>
  <x:si>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</x:si>
  <x:si>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</x:si>
  <x:si>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</x:si>
  <x:si>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</x:si>
  <x:si>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</x:si>
  <x:si>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</x:si>
  <x:si>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</x:si>
  <x:si>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</x:si>
  <x:si>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</x:si>
  <x:si>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</x:si>
  <x:si>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</x:si>
  <x:si>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</x:si>
  <x:si>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</x:si>
  <x:si>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</x:si>
  <x:si>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</x:si>
  <x:si>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</x:si>
  <x:si>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</x:si>
  <x:si>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</x:si>
  <x:si>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</x:si>
  <x:si>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</x:si>
  <x:si>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</x:si>
  <x:si>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</x:si>
  <x:si>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</x:t>
  </x:si>
  <x:si>
    <x:t xml:space="preserve">2. Risk Checklist 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</x:si>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</x:sst>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7">
    <x:numFmt numFmtId="164" formatCode="0.0%"/>
    <x:numFmt numFmtId="165" formatCode="\$#,##0.0000"/>
    <x:numFmt numFmtId="166" formatCode="#,##0.0"/>
    <x:numFmt numFmtId="167" formatCode="\$#,##0.00"/>
    <x:numFmt numFmtId="168" formatCode="\$#,##0"/>
    <x:numFmt numFmtId="169" formatCode="#,##0.0\×"/>
    <x:numFmt numFmtId="170" formatCode="#,##0&quot; ₫&quot;"/>
  </x:numFmts>
  <x:fonts count="11">
    <x:font>
      <x:sz val="11"/>
      <x:color theme="1"/>
      <x:name val="Calibri"/>
      <x:scheme val="minor"/>
    </x:font>
    <x:font>
      <x:b/>
      <x:sz val="14"/>
      <x:color rgb="FFFFFFFF"/>
      <x:name val="Arial"/>
    </x:font>
    <x:font>
      <x:sz val="11"/>
      <x:color theme="1"/>
      <x:name val="Calibri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color theme="1"/>
      <x:name val="Arial"/>
    </x:font>
    <x:font>
      <x:sz val="10"/>
      <x:color rgb="FF008000"/>
      <x:name val="Arial"/>
    </x:font>
    <x:font>
      <x:b/>
      <x:sz val="10"/>
      <x:color theme="1"/>
      <x:name val="Arial"/>
    </x:font>
    <x:font>
      <x:b/>
      <x:sz val="11"/>
      <x:color rgb="FFC0000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E8EAF6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</x:fills>
  <x:borders count="3">
    <x:border/>
    <x:border>
      <x:left/>
      <x:right/>
      <x:top/>
      <x:bottom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 applyFont="1" applyAlignment="1"/>
  </x:cellStyleXfs>
  <x:cellXfs count="89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vertical="bottom" wrapText="0" shrinkToFit="0"/>
    </x:xf>
    <x:xf numFmtId="0" fontId="2" fillId="2" borderId="1" xfId="0" applyFont="1" applyFill="1" applyBorder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0" fontId="4" fillId="0" borderId="0" xfId="0" applyFont="1" applyAlignment="1">
      <x:alignment vertical="bottom" wrapText="0" shrinkToFit="0"/>
    </x:xf>
    <x:xf numFmtId="0" fontId="5" fillId="3" borderId="2" xfId="0" applyFont="1" applyFill="1" applyBorder="1" applyAlignment="1">
      <x:alignment vertical="bottom" wrapText="0" shrinkToFit="0"/>
    </x:xf>
    <x:xf numFmtId="0" fontId="6" fillId="0" borderId="0" xfId="0" applyFont="1" applyAlignment="1">
      <x:alignment vertical="bottom" wrapText="0" shrinkToFit="0"/>
    </x:xf>
    <x:xf numFmtId="0" fontId="4" fillId="4" borderId="1" xfId="0" applyFont="1" applyFill="1" applyBorder="1" applyAlignment="1">
      <x:alignment vertical="bottom" wrapText="0" shrinkToFit="0"/>
    </x:xf>
    <x:xf numFmtId="0" fontId="6" fillId="5" borderId="2" xfId="0" applyFont="1" applyFill="1" applyBorder="1" applyAlignment="1">
      <x:alignment vertical="bottom" wrapText="0" shrinkToFit="0"/>
    </x:xf>
    <x:xf numFmtId="0" fontId="7" fillId="0" borderId="2" xfId="0" applyFont="1" applyBorder="1" applyAlignment="1">
      <x:alignment vertical="bottom" wrapText="0" shrinkToFit="0"/>
    </x:xf>
    <x:xf numFmtId="0" fontId="2" fillId="4" borderId="1" xfId="0" applyFont="1" applyFill="1" applyBorder="1" applyAlignment="1">
      <x:alignment vertical="bottom" wrapText="0" shrinkToFit="0"/>
    </x:xf>
    <x:xf numFmtId="0" fontId="6" fillId="6" borderId="2" xfId="0" applyFont="1" applyFill="1" applyBorder="1" applyAlignment="1">
      <x:alignment vertical="bottom" wrapText="0" shrinkToFit="0"/>
    </x:xf>
    <x:xf numFmtId="0" fontId="8" fillId="0" borderId="0" xfId="0" applyFont="1" applyAlignment="1">
      <x:alignment vertical="bottom" wrapText="0" shrinkToFit="0"/>
    </x:xf>
    <x:xf numFmtId="0" fontId="5" fillId="3" borderId="2" xfId="0" applyFont="1" applyFill="1" applyBorder="1" applyAlignment="1">
      <x:alignment horizontal="center" vertical="bottom" wrapText="0" shrinkToFit="0"/>
    </x:xf>
    <x:xf numFmtId="0" fontId="6" fillId="0" borderId="0" xfId="0" applyFont="1" applyAlignment="1">
      <x:alignment vertical="bottom" wrapText="0" shrinkToFit="0"/>
    </x:xf>
    <x:xf numFmtId="3" fontId="5" fillId="3" borderId="2" xfId="0" applyNumberFormat="1" applyFont="1" applyFill="1" applyBorder="1" applyAlignment="1">
      <x:alignment vertical="bottom" wrapText="0" shrinkToFit="0"/>
    </x:xf>
    <x:xf numFmtId="164" fontId="5" fillId="3" borderId="2" xfId="0" applyNumberFormat="1" applyFont="1" applyFill="1" applyBorder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3" fontId="9" fillId="5" borderId="2" xfId="0" applyNumberFormat="1" applyFont="1" applyFill="1" applyBorder="1" applyAlignment="1">
      <x:alignment vertical="bottom" wrapText="0" shrinkToFit="0"/>
    </x:xf>
    <x:xf numFmtId="3" fontId="6" fillId="5" borderId="2" xfId="0" applyNumberFormat="1" applyFont="1" applyFill="1" applyBorder="1" applyAlignment="1">
      <x:alignment vertical="bottom" wrapText="0" shrinkToFit="0"/>
    </x:xf>
    <x:xf numFmtId="165" fontId="7" fillId="5" borderId="2" xfId="0" applyNumberFormat="1" applyFont="1" applyFill="1" applyBorder="1" applyAlignment="1">
      <x:alignment vertical="bottom" wrapText="0" shrinkToFit="0"/>
    </x:xf>
    <x:xf numFmtId="166" fontId="5" fillId="3" borderId="2" xfId="0" applyNumberFormat="1" applyFont="1" applyFill="1" applyBorder="1" applyAlignment="1">
      <x:alignment vertical="bottom" wrapText="0" shrinkToFit="0"/>
    </x:xf>
    <x:xf numFmtId="167" fontId="5" fillId="3" borderId="2" xfId="0" applyNumberFormat="1" applyFont="1" applyFill="1" applyBorder="1" applyAlignment="1">
      <x:alignment vertical="bottom" wrapText="0" shrinkToFit="0"/>
    </x:xf>
    <x:xf numFmtId="165" fontId="9" fillId="5" borderId="2" xfId="0" applyNumberFormat="1" applyFont="1" applyFill="1" applyBorder="1" applyAlignment="1">
      <x:alignment vertical="bottom" wrapText="0" shrinkToFit="0"/>
    </x:xf>
    <x:xf numFmtId="165" fontId="6" fillId="5" borderId="2" xfId="0" applyNumberFormat="1" applyFont="1" applyFill="1" applyBorder="1" applyAlignment="1">
      <x:alignment vertical="bottom" wrapText="0" shrinkToFit="0"/>
    </x:xf>
    <x:xf numFmtId="168" fontId="5" fillId="3" borderId="2" xfId="0" applyNumberFormat="1" applyFont="1" applyFill="1" applyBorder="1" applyAlignment="1">
      <x:alignment vertical="bottom" wrapText="0" shrinkToFit="0"/>
    </x:xf>
    <x:xf numFmtId="0" fontId="9" fillId="5" borderId="2" xfId="0" applyFont="1" applyFill="1" applyBorder="1" applyAlignment="1">
      <x:alignment vertical="bottom" wrapText="0" shrinkToFit="0"/>
    </x:xf>
    <x:xf numFmtId="0" fontId="8" fillId="6" borderId="2" xfId="0" applyFont="1" applyFill="1" applyBorder="1" applyAlignment="1">
      <x:alignment vertical="bottom" wrapText="0" shrinkToFit="0"/>
    </x:xf>
    <x:xf numFmtId="164" fontId="6" fillId="5" borderId="2" xfId="0" applyNumberFormat="1" applyFont="1" applyFill="1" applyBorder="1" applyAlignment="1">
      <x:alignment vertical="bottom" wrapText="0" shrinkToFit="0"/>
    </x:xf>
    <x:xf numFmtId="165" fontId="5" fillId="3" borderId="2" xfId="0" applyNumberFormat="1" applyFont="1" applyFill="1" applyBorder="1" applyAlignment="1">
      <x:alignment vertical="bottom" wrapText="0" shrinkToFit="0"/>
    </x:xf>
    <x:xf numFmtId="169" fontId="6" fillId="5" borderId="2" xfId="0" applyNumberFormat="1" applyFont="1" applyFill="1" applyBorder="1" applyAlignment="1">
      <x:alignment vertical="bottom" wrapText="0" shrinkToFit="0"/>
    </x:xf>
    <x:xf numFmtId="164" fontId="9" fillId="5" borderId="2" xfId="0" applyNumberFormat="1" applyFont="1" applyFill="1" applyBorder="1" applyAlignment="1">
      <x:alignment vertical="bottom" wrapText="0" shrinkToFit="0"/>
    </x:xf>
    <x:xf numFmtId="167" fontId="6" fillId="5" borderId="2" xfId="0" applyNumberFormat="1" applyFont="1" applyFill="1" applyBorder="1" applyAlignment="1">
      <x:alignment vertical="bottom" wrapText="0" shrinkToFit="0"/>
    </x:xf>
    <x:xf numFmtId="167" fontId="9" fillId="5" borderId="2" xfId="0" applyNumberFormat="1" applyFont="1" applyFill="1" applyBorder="1" applyAlignment="1">
      <x:alignment vertical="bottom" wrapText="0" shrinkToFit="0"/>
    </x:xf>
    <x:xf numFmtId="164" fontId="7" fillId="5" borderId="2" xfId="0" applyNumberFormat="1" applyFont="1" applyFill="1" applyBorder="1" applyAlignment="1">
      <x:alignment vertical="bottom" wrapText="0" shrinkToFit="0"/>
    </x:xf>
    <x:xf numFmtId="168" fontId="9" fillId="5" borderId="2" xfId="0" applyNumberFormat="1" applyFont="1" applyFill="1" applyBorder="1" applyAlignment="1">
      <x:alignment vertical="bottom" wrapText="0" shrinkToFit="0"/>
    </x:xf>
    <x:xf numFmtId="170" fontId="6" fillId="5" borderId="2" xfId="0" applyNumberFormat="1" applyFont="1" applyFill="1" applyBorder="1" applyAlignment="1">
      <x:alignment vertical="bottom" wrapText="0" shrinkToFit="0"/>
    </x:xf>
    <x:xf numFmtId="168" fontId="6" fillId="5" borderId="2" xfId="0" applyNumberFormat="1" applyFont="1" applyFill="1" applyBorder="1" applyAlignment="1">
      <x:alignment vertical="bottom" wrapText="0" shrinkToFit="0"/>
    </x:xf>
    <x:xf numFmtId="4" fontId="9" fillId="5" borderId="2" xfId="0" applyNumberFormat="1" applyFont="1" applyFill="1" applyBorder="1" applyAlignment="1">
      <x:alignment vertical="bottom" wrapText="0" shrinkToFit="0"/>
    </x:xf>
    <x:xf numFmtId="169" fontId="9" fillId="5" borderId="2" xfId="0" applyNumberFormat="1" applyFont="1" applyFill="1" applyBorder="1" applyAlignment="1">
      <x:alignment vertical="bottom" wrapText="0" shrinkToFit="0"/>
    </x:xf>
    <x:xf numFmtId="164" fontId="6" fillId="6" borderId="2" xfId="0" applyNumberFormat="1" applyFont="1" applyFill="1" applyBorder="1" applyAlignment="1">
      <x:alignment vertical="bottom" wrapText="0" shrinkToFit="0"/>
    </x:xf>
    <x:xf numFmtId="0" fontId="5" fillId="3" borderId="2" xfId="0" applyFont="1" applyFill="1" applyBorder="1" applyAlignment="1">
      <x:alignment vertical="top" wrapText="1" shrinkToFit="0"/>
    </x:xf>
    <x:xf numFmtId="0" fontId="10" fillId="2" borderId="2" xfId="0" applyFont="1" applyFill="1" applyBorder="1" applyAlignment="1">
      <x:alignment vertical="bottom" wrapText="0" shrinkToFit="0"/>
    </x:xf>
    <x:xf numFmtId="0" fontId="6" fillId="6" borderId="2" xfId="0" applyFont="1" applyFill="1" applyBorder="1" applyAlignment="1">
      <x:alignment vertical="top" wrapText="0" shrinkToFit="0"/>
    </x:xf>
    <x:xf numFmtId="0" fontId="3" fillId="6" borderId="2" xfId="0" applyFont="1" applyFill="1" applyBorder="1" applyAlignment="1">
      <x:alignment vertical="top" wrapText="1" shrinkToFit="0"/>
    </x:xf>
    <x:xf numFmtId="0" fontId="5" fillId="3" borderId="2" xfId="0" applyNumberFormat="1" applyFont="1" applyFill="1" applyBorder="1" applyAlignment="1">
      <x:alignment vertical="bottom" wrapText="1"/>
    </x:xf>
    <x:xf numFmtId="0" fontId="5" fillId="3" borderId="2" xfId="0" applyNumberFormat="1" applyFont="1" applyFill="1" applyBorder="1" applyAlignment="1">
      <x:alignment horizontal="center" vertical="bottom" wrapText="1"/>
    </x:xf>
    <x:xf numFmtId="0" fontId="5" fillId="3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3" fontId="5" fillId="3" borderId="2" xfId="0" applyNumberFormat="1" applyFont="1" applyFill="1" applyBorder="1" applyAlignment="1">
      <x:alignment vertical="center" wrapText="0"/>
    </x:xf>
    <x:xf numFmtId="164" fontId="5" fillId="3" borderId="2" xfId="0" applyNumberFormat="1" applyFont="1" applyFill="1" applyBorder="1" applyAlignment="1">
      <x:alignment vertical="center" wrapText="0"/>
    </x:xf>
    <x:xf numFmtId="3" fontId="6" fillId="5" borderId="2" xfId="0" applyNumberFormat="1" applyFont="1" applyFill="1" applyBorder="1" applyAlignment="1">
      <x:alignment vertical="center" wrapText="0"/>
    </x:xf>
    <x:xf numFmtId="167" fontId="5" fillId="3" borderId="2" xfId="0" applyNumberFormat="1" applyFont="1" applyFill="1" applyBorder="1" applyAlignment="1">
      <x:alignment vertical="center" wrapText="0"/>
    </x:xf>
    <x:xf numFmtId="165" fontId="6" fillId="5" borderId="2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165" fontId="9" fillId="5" borderId="2" xfId="0" applyNumberFormat="1" applyFont="1" applyFill="1" applyBorder="1" applyAlignment="1">
      <x:alignment vertical="center" wrapText="0"/>
    </x:xf>
    <x:xf numFmtId="164" fontId="6" fillId="5" borderId="2" xfId="0" applyNumberFormat="1" applyFont="1" applyFill="1" applyBorder="1" applyAlignment="1">
      <x:alignment vertical="center" wrapText="0"/>
    </x:xf>
    <x:xf numFmtId="165" fontId="5" fillId="3" borderId="2" xfId="0" applyNumberFormat="1" applyFont="1" applyFill="1" applyBorder="1" applyAlignment="1">
      <x:alignment vertical="center" wrapText="0"/>
    </x:xf>
    <x:xf numFmtId="166" fontId="5" fillId="3" borderId="2" xfId="0" applyNumberFormat="1" applyFont="1" applyFill="1" applyBorder="1" applyAlignment="1">
      <x:alignment vertical="center" wrapText="0"/>
    </x:xf>
    <x:xf numFmtId="167" fontId="6" fillId="5" borderId="2" xfId="0" applyNumberFormat="1" applyFont="1" applyFill="1" applyBorder="1" applyAlignment="1">
      <x:alignment vertical="center" wrapText="0"/>
    </x:xf>
    <x:xf numFmtId="167" fontId="9" fillId="5" borderId="2" xfId="0" applyNumberFormat="1" applyFont="1" applyFill="1" applyBorder="1" applyAlignment="1">
      <x:alignment vertical="center" wrapText="0"/>
    </x:xf>
    <x:xf numFmtId="170" fontId="6" fillId="5" borderId="2" xfId="0" applyNumberFormat="1" applyFont="1" applyFill="1" applyBorder="1" applyAlignment="1">
      <x:alignment vertical="center" wrapText="0"/>
    </x:xf>
    <x:xf numFmtId="165" fontId="7" fillId="5" borderId="2" xfId="0" applyNumberFormat="1" applyFont="1" applyFill="1" applyBorder="1" applyAlignment="1">
      <x:alignment vertical="center" wrapText="0"/>
    </x:xf>
    <x:xf numFmtId="168" fontId="5" fillId="3" borderId="2" xfId="0" applyNumberFormat="1" applyFont="1" applyFill="1" applyBorder="1" applyAlignment="1">
      <x:alignment vertical="center" wrapText="0"/>
    </x:xf>
    <x:xf numFmtId="169" fontId="6" fillId="5" borderId="2" xfId="0" applyNumberFormat="1" applyFont="1" applyFill="1" applyBorder="1" applyAlignment="1">
      <x:alignment vertical="center" wrapText="0"/>
    </x:xf>
    <x:xf numFmtId="164" fontId="9" fillId="5" borderId="2" xfId="0" applyNumberFormat="1" applyFont="1" applyFill="1" applyBorder="1" applyAlignment="1">
      <x:alignment vertical="center" wrapText="0"/>
    </x:xf>
    <x:xf numFmtId="0" fontId="6" fillId="5" borderId="2" xfId="0" applyNumberFormat="1" applyFont="1" applyFill="1" applyBorder="1" applyAlignment="1">
      <x:alignment vertical="center" wrapText="0"/>
    </x:xf>
    <x:xf numFmtId="164" fontId="7" fillId="5" borderId="2" xfId="0" applyNumberFormat="1" applyFont="1" applyFill="1" applyBorder="1" applyAlignment="1">
      <x:alignment vertical="center" wrapText="0"/>
    </x:xf>
    <x:xf numFmtId="0" fontId="8" fillId="6" borderId="2" xfId="0" applyNumberFormat="1" applyFont="1" applyFill="1" applyBorder="1" applyAlignment="1">
      <x:alignment vertical="center" wrapText="0"/>
    </x:xf>
    <x:xf numFmtId="164" fontId="6" fillId="6" borderId="2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3" fontId="9" fillId="5" borderId="2" xfId="0" applyNumberFormat="1" applyFont="1" applyFill="1" applyBorder="1" applyAlignment="1">
      <x:alignment vertical="center" wrapText="0"/>
    </x:xf>
    <x:xf numFmtId="0" fontId="9" fillId="5" borderId="2" xfId="0" applyNumberFormat="1" applyFont="1" applyFill="1" applyBorder="1" applyAlignment="1">
      <x:alignment vertical="center" wrapText="0"/>
    </x:xf>
    <x:xf numFmtId="168" fontId="9" fillId="5" borderId="2" xfId="0" applyNumberFormat="1" applyFont="1" applyFill="1" applyBorder="1" applyAlignment="1">
      <x:alignment vertical="center" wrapText="0"/>
    </x:xf>
    <x:xf numFmtId="168" fontId="6" fillId="5" borderId="2" xfId="0" applyNumberFormat="1" applyFont="1" applyFill="1" applyBorder="1" applyAlignment="1">
      <x:alignment vertical="center" wrapText="0"/>
    </x:xf>
    <x:xf numFmtId="4" fontId="9" fillId="5" borderId="2" xfId="0" applyNumberFormat="1" applyFont="1" applyFill="1" applyBorder="1" applyAlignment="1">
      <x:alignment vertical="center" wrapText="0"/>
    </x:xf>
    <x:xf numFmtId="169" fontId="9" fillId="5" borderId="2" xfId="0" applyNumberFormat="1" applyFont="1" applyFill="1" applyBorder="1" applyAlignment="1">
      <x:alignment vertical="center" wrapText="0"/>
    </x:xf>
    <x:xf numFmtId="0" fontId="10" fillId="2" borderId="2" xfId="0" applyNumberFormat="1" applyFont="1" applyFill="1" applyBorder="1" applyAlignment="1">
      <x:alignment vertical="center" wrapText="0"/>
    </x:xf>
    <x:xf numFmtId="0" fontId="6" fillId="6" borderId="2" xfId="0" applyNumberFormat="1" applyFont="1" applyFill="1" applyBorder="1" applyAlignment="1">
      <x:alignment vertical="center" wrapText="0"/>
    </x:xf>
    <x:xf numFmtId="0" fontId="3" fillId="6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4ca4c326d4211" /><Relationship Type="http://schemas.openxmlformats.org/officeDocument/2006/relationships/theme" Target="/xl/theme/theme1.xml" Id="R70db35990fb34f06" /><Relationship Type="http://schemas.openxmlformats.org/officeDocument/2006/relationships/sharedStrings" Target="/xl/sharedStrings.xml" Id="R69e5809500754868" /><Relationship Type="http://schemas.openxmlformats.org/officeDocument/2006/relationships/worksheet" Target="/xl/worksheets/sheet1.xml" Id="Reaa215eacf844071" /><Relationship Type="http://schemas.openxmlformats.org/officeDocument/2006/relationships/worksheet" Target="/xl/worksheets/sheet2.xml" Id="R0e7a45525fbb4566" /><Relationship Type="http://schemas.openxmlformats.org/officeDocument/2006/relationships/worksheet" Target="/xl/worksheets/sheet3.xml" Id="R4651c7a74b3643a3" /><Relationship Type="http://schemas.openxmlformats.org/officeDocument/2006/relationships/worksheet" Target="/xl/worksheets/sheet4.xml" Id="R5d9201318b7e4d68" /><Relationship Type="http://schemas.openxmlformats.org/officeDocument/2006/relationships/worksheet" Target="/xl/worksheets/sheet5.xml" Id="R74f4db28d42b46b4" /><Relationship Type="http://schemas.openxmlformats.org/officeDocument/2006/relationships/worksheet" Target="/xl/worksheets/sheet6.xml" Id="Rd266e373d0dc4c16" /><Relationship Type="http://schemas.openxmlformats.org/officeDocument/2006/relationships/worksheet" Target="/xl/worksheets/sheet7.xml" Id="R79b4ccda43e24fc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a50a15865084e02" /><Relationship Type="http://schemas.openxmlformats.org/officeDocument/2006/relationships/vmlDrawing" Target="/xl/drawings/vmldrawing.vml" Id="R021f79d282404199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52" customWidth="1"/>
    <x:col min="2" max="2" width="62" customWidth="1"/>
    <x:col min="3" max="8" width="15" customWidth="1"/>
    <x:col min="9" max="2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>
      <x:c r="A2" s="3" t="s">
        <x:v>1</x:v>
      </x:c>
    </x:row>
    <x:row r="4">
      <x:c r="A4" s="4" t="s">
        <x:v>2</x:v>
      </x:c>
    </x:row>
    <x:row r="5">
      <x:c r="A5" s="5" t="s">
        <x:v>3</x:v>
      </x:c>
      <x:c r="B5" s="6" t="s">
        <x:v>4</x:v>
      </x:c>
    </x:row>
    <x:row r="6">
      <x:c r="A6" s="8" t="s">
        <x:v>5</x:v>
      </x:c>
      <x:c r="B6" s="6" t="s">
        <x:v>6</x:v>
      </x:c>
    </x:row>
    <x:row r="7">
      <x:c r="A7" s="9" t="s">
        <x:v>7</x:v>
      </x:c>
      <x:c r="B7" s="6" t="s">
        <x:v>8</x:v>
      </x:c>
    </x:row>
    <x:row r="8">
      <x:c r="A8" s="11" t="s">
        <x:v>9</x:v>
      </x:c>
      <x:c r="B8" s="6" t="s">
        <x:v>10</x:v>
      </x:c>
    </x:row>
    <x:row r="10">
      <x:c r="A10" s="4" t="s">
        <x:v>11</x:v>
      </x:c>
    </x:row>
    <x:row r="11">
      <x:c r="A11" s="12" t="s">
        <x:v>12</x:v>
      </x:c>
      <x:c r="B11" s="6" t="s">
        <x:v>13</x:v>
      </x:c>
    </x:row>
    <x:row r="12">
      <x:c r="A12" s="12" t="s">
        <x:v>14</x:v>
      </x:c>
      <x:c r="B12" s="6" t="s">
        <x:v>15</x:v>
      </x:c>
    </x:row>
    <x:row r="13">
      <x:c r="A13" s="12" t="s">
        <x:v>16</x:v>
      </x:c>
      <x:c r="B13" s="6" t="s">
        <x:v>17</x:v>
      </x:c>
    </x:row>
    <x:row r="14">
      <x:c r="A14" s="12" t="s">
        <x:v>18</x:v>
      </x:c>
      <x:c r="B14" s="6" t="s">
        <x:v>19</x:v>
      </x:c>
    </x:row>
    <x:row r="15">
      <x:c r="A15" s="12" t="s">
        <x:v>20</x:v>
      </x:c>
      <x:c r="B15" s="6" t="s">
        <x:v>21</x:v>
      </x:c>
    </x:row>
    <x:row r="16">
      <x:c r="A16" s="12" t="s">
        <x:v>22</x:v>
      </x:c>
      <x:c r="B16" s="6" t="s">
        <x:v>23</x:v>
      </x:c>
    </x:row>
    <x:row r="18">
      <x:c r="A18" s="4" t="s">
        <x:v>24</x:v>
      </x:c>
    </x:row>
    <x:row r="19">
      <x:c r="A19" s="6" t="s">
        <x:v>25</x:v>
      </x:c>
    </x:row>
    <x:row r="20">
      <x:c r="A20" s="6" t="s">
        <x:v>26</x:v>
      </x:c>
    </x:row>
    <x:row r="21" ht="15.75" customHeight="1">
      <x:c r="A21" s="6" t="s">
        <x:v>27</x:v>
      </x:c>
    </x:row>
    <x:row r="22" ht="15.75" customHeight="1"/>
    <x:row r="23" ht="15.75" customHeight="1">
      <x:c r="A23" s="3" t="s">
        <x:v>28</x:v>
      </x:c>
    </x:row>
    <x:row r="24" ht="15.75" customHeight="1">
      <x:c r="A24" s="3" t="s">
        <x:v>29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2" customWidth="1"/>
    <x:col min="5" max="8" width="15" customWidth="1"/>
    <x:col min="9" max="26" width="8.710000038146973" customWidth="1"/>
    <x:col min="2" max="2" width="65" hidden="0" customWidth="1"/>
  </x:cols>
  <x:sheetData>
    <x:row r="1" ht="24" customHeight="1">
      <x:c r="A1" s="48" t="s">
        <x:v>30</x:v>
      </x:c>
      <x:c r="B1" s="49"/>
      <x:c r="C1" s="49"/>
      <x:c r="D1" s="49"/>
      <x:c r="E1" s="49"/>
      <x:c r="F1" s="49"/>
      <x:c r="G1" s="49"/>
      <x:c r="H1" s="49"/>
    </x:row>
    <x:row r="2">
      <x:c r="A2" s="50" t="s">
        <x:v>31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">
        <x:v>32</x:v>
      </x:c>
      <x:c r="B4" s="53"/>
      <x:c r="C4" s="53"/>
      <x:c r="D4" s="53"/>
      <x:c r="E4" s="53"/>
      <x:c r="F4" s="53"/>
      <x:c r="G4" s="53"/>
      <x:c r="H4" s="53"/>
    </x:row>
    <x:row r="5" ht="51" customHeight="1">
      <x:c r="A5" s="54" t="s">
        <x:v>33</x:v>
      </x:c>
      <x:c r="B5" s="55" t="str">
        <x:v>1 FAQ onboarding được trả lời đúng, có nguồn, người dùng xác nhận hữu ích; không HR xử lý và không mở lại trong 7 ngày. Chưa triển khai billing.</x:v>
      </x:c>
      <x:c r="C5" s="51"/>
      <x:c r="D5" s="50" t="s">
        <x:v>34</x:v>
      </x:c>
      <x:c r="E5" s="51"/>
      <x:c r="F5" s="51"/>
      <x:c r="G5" s="51"/>
      <x:c r="H5" s="51"/>
    </x:row>
    <x:row r="6" ht="36" customHeight="1">
      <x:c r="A6" s="54" t="s">
        <x:v>35</x:v>
      </x:c>
      <x:c r="B6" s="56" t="str">
        <x:v>A</x:v>
      </x:c>
      <x:c r="C6" s="51"/>
      <x:c r="D6" s="50" t="s">
        <x:v>36</x:v>
      </x:c>
      <x:c r="E6" s="51"/>
      <x:c r="F6" s="51"/>
      <x:c r="G6" s="51"/>
      <x:c r="H6" s="51"/>
    </x:row>
    <x:row r="7">
      <x:c r="A7" s="51"/>
      <x:c r="B7" s="51"/>
      <x:c r="C7" s="51"/>
      <x:c r="D7" s="51"/>
      <x:c r="E7" s="51"/>
      <x:c r="F7" s="51"/>
      <x:c r="G7" s="51"/>
      <x:c r="H7" s="51"/>
    </x:row>
    <x:row r="8">
      <x:c r="A8" s="52" t="s">
        <x:v>37</x:v>
      </x:c>
      <x:c r="B8" s="53"/>
      <x:c r="C8" s="53"/>
      <x:c r="D8" s="53"/>
      <x:c r="E8" s="53"/>
      <x:c r="F8" s="53"/>
      <x:c r="G8" s="53"/>
      <x:c r="H8" s="53"/>
    </x:row>
    <x:row r="9">
      <x:c r="A9" s="54" t="s">
        <x:v>38</x:v>
      </x:c>
      <x:c r="B9" s="57" t="n">
        <x:v>1000</x:v>
      </x:c>
      <x:c r="C9" s="50" t="s">
        <x:v>39</x:v>
      </x:c>
      <x:c r="D9" s="51"/>
      <x:c r="E9" s="51"/>
      <x:c r="F9" s="51"/>
      <x:c r="G9" s="51"/>
      <x:c r="H9" s="51"/>
    </x:row>
    <x:row r="10">
      <x:c r="A10" s="54" t="s">
        <x:v>40</x:v>
      </x:c>
      <x:c r="B10" s="58" t="n">
        <x:v>0.45</x:v>
      </x:c>
      <x:c r="C10" s="51"/>
      <x:c r="D10" s="50" t="s">
        <x:v>41</x:v>
      </x:c>
      <x:c r="E10" s="51"/>
      <x:c r="F10" s="51"/>
      <x:c r="G10" s="51"/>
      <x:c r="H10" s="51"/>
    </x:row>
    <x:row r="11">
      <x:c r="A11" s="54" t="s">
        <x:v>42</x:v>
      </x:c>
      <x:c r="B11" s="59" t="n">
        <x:f>B9*B10</x:f>
        <x:v>450</x:v>
      </x:c>
      <x:c r="C11" s="50" t="s">
        <x:v>39</x:v>
      </x:c>
      <x:c r="D11" s="50" t="s">
        <x:v>43</x:v>
      </x:c>
      <x:c r="E11" s="51"/>
      <x:c r="F11" s="51"/>
      <x:c r="G11" s="51"/>
      <x:c r="H11" s="51"/>
    </x:row>
    <x:row r="12">
      <x:c r="A12" s="54" t="s">
        <x:v>44</x:v>
      </x:c>
      <x:c r="B12" s="59" t="n">
        <x:f>B9-B11</x:f>
        <x:v>550</x:v>
      </x:c>
      <x:c r="C12" s="50" t="s">
        <x:v>39</x:v>
      </x:c>
      <x:c r="D12" s="50" t="s">
        <x:v>45</x:v>
      </x:c>
      <x:c r="E12" s="51"/>
      <x:c r="F12" s="51"/>
      <x:c r="G12" s="51"/>
      <x:c r="H12" s="51"/>
    </x:row>
    <x:row r="13">
      <x:c r="A13" s="51"/>
      <x:c r="B13" s="51"/>
      <x:c r="C13" s="51"/>
      <x:c r="D13" s="51"/>
      <x:c r="E13" s="51"/>
      <x:c r="F13" s="51"/>
      <x:c r="G13" s="51"/>
      <x:c r="H13" s="51"/>
    </x:row>
    <x:row r="14">
      <x:c r="A14" s="52" t="s">
        <x:v>46</x:v>
      </x:c>
      <x:c r="B14" s="53"/>
      <x:c r="C14" s="53"/>
      <x:c r="D14" s="53"/>
      <x:c r="E14" s="53"/>
      <x:c r="F14" s="53"/>
      <x:c r="G14" s="53"/>
      <x:c r="H14" s="53"/>
    </x:row>
    <x:row r="15">
      <x:c r="A15" s="54" t="s">
        <x:v>47</x:v>
      </x:c>
      <x:c r="B15" s="60" t="n">
        <x:v>0.15</x:v>
      </x:c>
      <x:c r="C15" s="51"/>
      <x:c r="D15" s="50" t="s">
        <x:v>48</x:v>
      </x:c>
      <x:c r="E15" s="51"/>
      <x:c r="F15" s="51"/>
      <x:c r="G15" s="51"/>
      <x:c r="H15" s="51"/>
    </x:row>
    <x:row r="16">
      <x:c r="A16" s="54" t="s">
        <x:v>49</x:v>
      </x:c>
      <x:c r="B16" s="60" t="n">
        <x:v>0.6</x:v>
      </x:c>
      <x:c r="C16" s="51"/>
      <x:c r="D16" s="51"/>
      <x:c r="E16" s="51"/>
      <x:c r="F16" s="51"/>
      <x:c r="G16" s="51"/>
      <x:c r="H16" s="51"/>
    </x:row>
    <x:row r="17">
      <x:c r="A17" s="54" t="s">
        <x:v>50</x:v>
      </x:c>
      <x:c r="B17" s="60" t="n">
        <x:v>0.15</x:v>
      </x:c>
      <x:c r="C17" s="51"/>
      <x:c r="D17" s="50" t="s">
        <x:v>51</x:v>
      </x:c>
      <x:c r="E17" s="51"/>
      <x:c r="F17" s="51"/>
      <x:c r="G17" s="51"/>
      <x:c r="H17" s="51"/>
    </x:row>
    <x:row r="18">
      <x:c r="A18" s="54" t="s">
        <x:v>52</x:v>
      </x:c>
      <x:c r="B18" s="60" t="n">
        <x:v>0.15</x:v>
      </x:c>
      <x:c r="C18" s="51"/>
      <x:c r="D18" s="50" t="s">
        <x:v>53</x:v>
      </x:c>
      <x:c r="E18" s="51"/>
      <x:c r="F18" s="51"/>
      <x:c r="G18" s="51"/>
      <x:c r="H18" s="51"/>
    </x:row>
    <x:row r="19">
      <x:c r="A19" s="54" t="s">
        <x:v>54</x:v>
      </x:c>
      <x:c r="B19" s="57" t="n">
        <x:v>2</x:v>
      </x:c>
      <x:c r="C19" s="50" t="s">
        <x:v>55</x:v>
      </x:c>
      <x:c r="D19" s="51"/>
      <x:c r="E19" s="51"/>
      <x:c r="F19" s="51"/>
      <x:c r="G19" s="51"/>
      <x:c r="H19" s="51"/>
    </x:row>
    <x:row r="20">
      <x:c r="A20" s="54" t="s">
        <x:v>56</x:v>
      </x:c>
      <x:c r="B20" s="57" t="n">
        <x:v>2048</x:v>
      </x:c>
      <x:c r="C20" s="50" t="s">
        <x:v>57</x:v>
      </x:c>
      <x:c r="D20" s="50" t="s">
        <x:v>58</x:v>
      </x:c>
      <x:c r="E20" s="51"/>
      <x:c r="F20" s="51"/>
      <x:c r="G20" s="51"/>
      <x:c r="H20" s="51"/>
    </x:row>
    <x:row r="21" ht="15.75" customHeight="1">
      <x:c r="A21" s="54" t="s">
        <x:v>59</x:v>
      </x:c>
      <x:c r="B21" s="57" t="n">
        <x:v>1000</x:v>
      </x:c>
      <x:c r="C21" s="50" t="s">
        <x:v>57</x:v>
      </x:c>
      <x:c r="D21" s="50" t="s">
        <x:v>60</x:v>
      </x:c>
      <x:c r="E21" s="51"/>
      <x:c r="F21" s="51"/>
      <x:c r="G21" s="51"/>
      <x:c r="H21" s="51"/>
    </x:row>
    <x:row r="22" ht="15.75" customHeight="1">
      <x:c r="A22" s="54" t="s">
        <x:v>61</x:v>
      </x:c>
      <x:c r="B22" s="57" t="n">
        <x:v>400</x:v>
      </x:c>
      <x:c r="C22" s="50" t="s">
        <x:v>57</x:v>
      </x:c>
      <x:c r="D22" s="51"/>
      <x:c r="E22" s="51"/>
      <x:c r="F22" s="51"/>
      <x:c r="G22" s="51"/>
      <x:c r="H22" s="51"/>
    </x:row>
    <x:row r="23" ht="15.75" customHeight="1">
      <x:c r="A23" s="54" t="s">
        <x:v>62</x:v>
      </x:c>
      <x:c r="B23" s="61" t="n">
        <x:f>B20*B17/1000000</x:f>
        <x:v>0.0003072</x:v>
      </x:c>
      <x:c r="C23" s="51"/>
      <x:c r="D23" s="51"/>
      <x:c r="E23" s="51"/>
      <x:c r="F23" s="51"/>
      <x:c r="G23" s="51"/>
      <x:c r="H23" s="51"/>
    </x:row>
    <x:row r="24" ht="15.75" customHeight="1">
      <x:c r="A24" s="54" t="s">
        <x:v>63</x:v>
      </x:c>
      <x:c r="B24" s="61" t="n">
        <x:f>(B19-1)*B20*B18/1000000</x:f>
        <x:v>0.0003072</x:v>
      </x:c>
      <x:c r="C24" s="51"/>
      <x:c r="D24" s="51"/>
      <x:c r="E24" s="51"/>
      <x:c r="F24" s="51"/>
      <x:c r="G24" s="51"/>
      <x:c r="H24" s="51"/>
    </x:row>
    <x:row r="25" ht="15.75" customHeight="1">
      <x:c r="A25" s="54" t="s">
        <x:v>64</x:v>
      </x:c>
      <x:c r="B25" s="61" t="n">
        <x:f>B19*B21*B15/1000000</x:f>
        <x:v>0.0003</x:v>
      </x:c>
      <x:c r="C25" s="51"/>
      <x:c r="D25" s="51"/>
      <x:c r="E25" s="51"/>
      <x:c r="F25" s="51"/>
      <x:c r="G25" s="51"/>
      <x:c r="H25" s="51"/>
    </x:row>
    <x:row r="26" ht="15.75" customHeight="1">
      <x:c r="A26" s="54" t="s">
        <x:v>65</x:v>
      </x:c>
      <x:c r="B26" s="61" t="n">
        <x:f>B19*B22*B16/1000000</x:f>
        <x:v>0.00048</x:v>
      </x:c>
      <x:c r="C26" s="51"/>
      <x:c r="D26" s="51"/>
      <x:c r="E26" s="51"/>
      <x:c r="F26" s="51"/>
      <x:c r="G26" s="51"/>
      <x:c r="H26" s="51"/>
    </x:row>
    <x:row r="27" ht="15.75" customHeight="1">
      <x:c r="A27" s="62" t="s">
        <x:v>66</x:v>
      </x:c>
      <x:c r="B27" s="63" t="n">
        <x:f>SUM(B23:B26)</x:f>
        <x:v>0.0013943999999999998</x:v>
      </x:c>
      <x:c r="C27" s="51"/>
      <x:c r="D27" s="51"/>
      <x:c r="E27" s="51"/>
      <x:c r="F27" s="51"/>
      <x:c r="G27" s="51"/>
      <x:c r="H27" s="51"/>
    </x:row>
    <x:row r="28" ht="15.75" customHeight="1">
      <x:c r="A28" s="54" t="s">
        <x:v>67</x:v>
      </x:c>
      <x:c r="B28" s="61" t="n">
        <x:f>B19*(B20+B21)*B15/1000000+B26</x:f>
        <x:v>0.0013944</x:v>
      </x:c>
      <x:c r="C28" s="51"/>
      <x:c r="D28" s="51"/>
      <x:c r="E28" s="51"/>
      <x:c r="F28" s="51"/>
      <x:c r="G28" s="51"/>
      <x:c r="H28" s="51"/>
    </x:row>
    <x:row r="29" ht="15.75" customHeight="1">
      <x:c r="A29" s="54" t="s">
        <x:v>68</x:v>
      </x:c>
      <x:c r="B29" s="64" t="n">
        <x:f>IF(B28=0,0,1-B27/B28)</x:f>
        <x:v>1.1102230246251565e-16</x:v>
      </x:c>
      <x:c r="C29" s="51"/>
      <x:c r="D29" s="50" t="s">
        <x:v>69</x:v>
      </x:c>
      <x:c r="E29" s="51"/>
      <x:c r="F29" s="51"/>
      <x:c r="G29" s="51"/>
      <x:c r="H29" s="51"/>
    </x:row>
    <x:row r="30" ht="15.75" customHeight="1">
      <x:c r="A30" s="54" t="s">
        <x:v>70</x:v>
      </x:c>
      <x:c r="B30" s="57" t="n">
        <x:v>0</x:v>
      </x:c>
      <x:c r="C30" s="51"/>
      <x:c r="D30" s="50" t="s">
        <x:v>71</x:v>
      </x:c>
      <x:c r="E30" s="51"/>
      <x:c r="F30" s="51"/>
      <x:c r="G30" s="51"/>
      <x:c r="H30" s="51"/>
    </x:row>
    <x:row r="31" ht="15.75" customHeight="1">
      <x:c r="A31" s="62" t="s">
        <x:v>72</x:v>
      </x:c>
      <x:c r="B31" s="63" t="n">
        <x:f>B27*(1-B30*0.5)</x:f>
        <x:v>0.0013943999999999998</x:v>
      </x:c>
      <x:c r="C31" s="51"/>
      <x:c r="D31" s="51"/>
      <x:c r="E31" s="51"/>
      <x:c r="F31" s="51"/>
      <x:c r="G31" s="51"/>
      <x:c r="H31" s="51"/>
    </x:row>
    <x:row r="32" ht="15.75" customHeight="1">
      <x:c r="A32" s="51"/>
      <x:c r="B32" s="51"/>
      <x:c r="C32" s="51"/>
      <x:c r="D32" s="51"/>
      <x:c r="E32" s="51"/>
      <x:c r="F32" s="51"/>
      <x:c r="G32" s="51"/>
      <x:c r="H32" s="51"/>
    </x:row>
    <x:row r="33" ht="15.75" customHeight="1">
      <x:c r="A33" s="52" t="s">
        <x:v>73</x:v>
      </x:c>
      <x:c r="B33" s="53"/>
      <x:c r="C33" s="53"/>
      <x:c r="D33" s="53"/>
      <x:c r="E33" s="53"/>
      <x:c r="F33" s="53"/>
      <x:c r="G33" s="53"/>
      <x:c r="H33" s="53"/>
    </x:row>
    <x:row r="34" ht="15.75" customHeight="1">
      <x:c r="A34" s="54" t="s">
        <x:v>74</x:v>
      </x:c>
      <x:c r="B34" s="65" t="n">
        <x:v>0</x:v>
      </x:c>
      <x:c r="C34" s="51"/>
      <x:c r="D34" s="50" t="s">
        <x:v>75</x:v>
      </x:c>
      <x:c r="E34" s="51"/>
      <x:c r="F34" s="51"/>
      <x:c r="G34" s="51"/>
      <x:c r="H34" s="51"/>
    </x:row>
    <x:row r="35" ht="15.75" customHeight="1">
      <x:c r="A35" s="54" t="s">
        <x:v>76</x:v>
      </x:c>
      <x:c r="B35" s="66" t="n">
        <x:v>0</x:v>
      </x:c>
      <x:c r="C35" s="50" t="s">
        <x:v>77</x:v>
      </x:c>
      <x:c r="D35" s="51"/>
      <x:c r="E35" s="51"/>
      <x:c r="F35" s="51"/>
      <x:c r="G35" s="51"/>
      <x:c r="H35" s="51"/>
    </x:row>
    <x:row r="36" ht="15.75" customHeight="1">
      <x:c r="A36" s="54" t="s">
        <x:v>78</x:v>
      </x:c>
      <x:c r="B36" s="60" t="n">
        <x:v>0</x:v>
      </x:c>
      <x:c r="C36" s="51"/>
      <x:c r="D36" s="50" t="s">
        <x:v>79</x:v>
      </x:c>
      <x:c r="E36" s="51"/>
      <x:c r="F36" s="51"/>
      <x:c r="G36" s="51"/>
      <x:c r="H36" s="51"/>
    </x:row>
    <x:row r="37" ht="15.75" customHeight="1">
      <x:c r="A37" s="54" t="s">
        <x:v>80</x:v>
      </x:c>
      <x:c r="B37" s="57" t="n">
        <x:v>0</x:v>
      </x:c>
      <x:c r="C37" s="50" t="s">
        <x:v>81</x:v>
      </x:c>
      <x:c r="D37" s="50" t="s">
        <x:v>82</x:v>
      </x:c>
      <x:c r="E37" s="51"/>
      <x:c r="F37" s="51"/>
      <x:c r="G37" s="51"/>
      <x:c r="H37" s="51"/>
    </x:row>
    <x:row r="38" ht="15.75" customHeight="1">
      <x:c r="A38" s="54" t="s">
        <x:v>83</x:v>
      </x:c>
      <x:c r="B38" s="61" t="n">
        <x:f>B34*B35+B36*B37/1000000</x:f>
        <x:v>0</x:v>
      </x:c>
      <x:c r="C38" s="51"/>
      <x:c r="D38" s="51"/>
      <x:c r="E38" s="51"/>
      <x:c r="F38" s="51"/>
      <x:c r="G38" s="51"/>
      <x:c r="H38" s="51"/>
    </x:row>
    <x:row r="39" ht="15.75" customHeight="1">
      <x:c r="A39" s="51"/>
      <x:c r="B39" s="51"/>
      <x:c r="C39" s="51"/>
      <x:c r="D39" s="51"/>
      <x:c r="E39" s="51"/>
      <x:c r="F39" s="51"/>
      <x:c r="G39" s="51"/>
      <x:c r="H39" s="51"/>
    </x:row>
    <x:row r="40" ht="15.75" customHeight="1">
      <x:c r="A40" s="52" t="s">
        <x:v>84</x:v>
      </x:c>
      <x:c r="B40" s="53"/>
      <x:c r="C40" s="53"/>
      <x:c r="D40" s="53"/>
      <x:c r="E40" s="53"/>
      <x:c r="F40" s="53"/>
      <x:c r="G40" s="53"/>
      <x:c r="H40" s="53"/>
    </x:row>
    <x:row r="41" ht="15.75" customHeight="1">
      <x:c r="A41" s="54" t="s">
        <x:v>85</x:v>
      </x:c>
      <x:c r="B41" s="65" t="n">
        <x:v>0.008</x:v>
      </x:c>
      <x:c r="C41" s="51"/>
      <x:c r="D41" s="50" t="s">
        <x:v>86</x:v>
      </x:c>
      <x:c r="E41" s="51"/>
      <x:c r="F41" s="51"/>
      <x:c r="G41" s="51"/>
      <x:c r="H41" s="51"/>
    </x:row>
    <x:row r="42" ht="15.75" customHeight="1">
      <x:c r="A42" s="54" t="s">
        <x:v>87</x:v>
      </x:c>
      <x:c r="B42" s="65" t="n">
        <x:v>0</x:v>
      </x:c>
      <x:c r="C42" s="51"/>
      <x:c r="D42" s="51"/>
      <x:c r="E42" s="51"/>
      <x:c r="F42" s="51"/>
      <x:c r="G42" s="51"/>
      <x:c r="H42" s="51"/>
    </x:row>
    <x:row r="43" ht="15.75" customHeight="1">
      <x:c r="A43" s="54" t="s">
        <x:v>88</x:v>
      </x:c>
      <x:c r="B43" s="61" t="n">
        <x:f>B41+B42*B35</x:f>
        <x:v>0.008</x:v>
      </x:c>
      <x:c r="C43" s="51"/>
      <x:c r="D43" s="51"/>
      <x:c r="E43" s="51"/>
      <x:c r="F43" s="51"/>
      <x:c r="G43" s="51"/>
      <x:c r="H43" s="51"/>
    </x:row>
    <x:row r="44" ht="15.75" customHeight="1">
      <x:c r="A44" s="51"/>
      <x:c r="B44" s="51"/>
      <x:c r="C44" s="51"/>
      <x:c r="D44" s="51"/>
      <x:c r="E44" s="51"/>
      <x:c r="F44" s="51"/>
      <x:c r="G44" s="51"/>
      <x:c r="H44" s="51"/>
    </x:row>
    <x:row r="45" ht="15.75" customHeight="1">
      <x:c r="A45" s="52" t="s">
        <x:v>89</x:v>
      </x:c>
      <x:c r="B45" s="53"/>
      <x:c r="C45" s="53"/>
      <x:c r="D45" s="53"/>
      <x:c r="E45" s="53"/>
      <x:c r="F45" s="53"/>
      <x:c r="G45" s="53"/>
      <x:c r="H45" s="53"/>
    </x:row>
    <x:row r="46" ht="15.75" customHeight="1">
      <x:c r="A46" s="54" t="s">
        <x:v>90</x:v>
      </x:c>
      <x:c r="B46" s="58" t="n">
        <x:v>0.08</x:v>
      </x:c>
      <x:c r="C46" s="51"/>
      <x:c r="D46" s="50" t="s">
        <x:v>91</x:v>
      </x:c>
      <x:c r="E46" s="51"/>
      <x:c r="F46" s="51"/>
      <x:c r="G46" s="51"/>
      <x:c r="H46" s="51"/>
    </x:row>
    <x:row r="47" ht="15.75" customHeight="1">
      <x:c r="A47" s="54" t="s">
        <x:v>92</x:v>
      </x:c>
      <x:c r="B47" s="61" t="n">
        <x:f>(B31+B38)*B46</x:f>
        <x:v>0.00011155199999999999</x:v>
      </x:c>
      <x:c r="C47" s="51"/>
      <x:c r="D47" s="51"/>
      <x:c r="E47" s="51"/>
      <x:c r="F47" s="51"/>
      <x:c r="G47" s="51"/>
      <x:c r="H47" s="51"/>
    </x:row>
    <x:row r="48" ht="15.75" customHeight="1">
      <x:c r="A48" s="51"/>
      <x:c r="B48" s="51"/>
      <x:c r="C48" s="51"/>
      <x:c r="D48" s="51"/>
      <x:c r="E48" s="51"/>
      <x:c r="F48" s="51"/>
      <x:c r="G48" s="51"/>
      <x:c r="H48" s="51"/>
    </x:row>
    <x:row r="49" ht="15.75" customHeight="1">
      <x:c r="A49" s="52" t="s">
        <x:v>93</x:v>
      </x:c>
      <x:c r="B49" s="53"/>
      <x:c r="C49" s="53"/>
      <x:c r="D49" s="53"/>
      <x:c r="E49" s="53"/>
      <x:c r="F49" s="53"/>
      <x:c r="G49" s="53"/>
      <x:c r="H49" s="53"/>
    </x:row>
    <x:row r="50" ht="15.75" customHeight="1">
      <x:c r="A50" s="54" t="s">
        <x:v>94</x:v>
      </x:c>
      <x:c r="B50" s="60" t="n">
        <x:v>6</x:v>
      </x:c>
      <x:c r="C50" s="51"/>
      <x:c r="D50" s="50" t="s">
        <x:v>95</x:v>
      </x:c>
      <x:c r="E50" s="51"/>
      <x:c r="F50" s="51"/>
      <x:c r="G50" s="51"/>
      <x:c r="H50" s="51"/>
    </x:row>
    <x:row r="51" ht="15.75" customHeight="1">
      <x:c r="A51" s="54" t="s">
        <x:v>96</x:v>
      </x:c>
      <x:c r="B51" s="58" t="n">
        <x:v>0.1</x:v>
      </x:c>
      <x:c r="C51" s="51"/>
      <x:c r="D51" s="50" t="s">
        <x:v>97</x:v>
      </x:c>
      <x:c r="E51" s="51"/>
      <x:c r="F51" s="51"/>
      <x:c r="G51" s="51"/>
      <x:c r="H51" s="51"/>
    </x:row>
    <x:row r="52" ht="15.75" customHeight="1">
      <x:c r="A52" s="54" t="s">
        <x:v>98</x:v>
      </x:c>
      <x:c r="B52" s="66" t="n">
        <x:v>2</x:v>
      </x:c>
      <x:c r="C52" s="50" t="s">
        <x:v>77</x:v>
      </x:c>
      <x:c r="D52" s="51"/>
      <x:c r="E52" s="51"/>
      <x:c r="F52" s="51"/>
      <x:c r="G52" s="51"/>
      <x:c r="H52" s="51"/>
    </x:row>
    <x:row r="53" ht="15.75" customHeight="1">
      <x:c r="A53" s="54" t="s">
        <x:v>99</x:v>
      </x:c>
      <x:c r="B53" s="66" t="n">
        <x:v>8</x:v>
      </x:c>
      <x:c r="C53" s="50" t="s">
        <x:v>77</x:v>
      </x:c>
      <x:c r="D53" s="51"/>
      <x:c r="E53" s="51"/>
      <x:c r="F53" s="51"/>
      <x:c r="G53" s="51"/>
      <x:c r="H53" s="51"/>
    </x:row>
    <x:row r="54" ht="15.75" customHeight="1">
      <x:c r="A54" s="54" t="s">
        <x:v>100</x:v>
      </x:c>
      <x:c r="B54" s="67" t="n">
        <x:f>B9*B51*(B52/60)*B50</x:f>
        <x:v>20</x:v>
      </x:c>
      <x:c r="C54" s="51"/>
      <x:c r="D54" s="51"/>
      <x:c r="E54" s="51"/>
      <x:c r="F54" s="51"/>
      <x:c r="G54" s="51"/>
      <x:c r="H54" s="51"/>
    </x:row>
    <x:row r="55" ht="15.75" customHeight="1">
      <x:c r="A55" s="54" t="s">
        <x:v>101</x:v>
      </x:c>
      <x:c r="B55" s="67" t="n">
        <x:f>IF(B6="B",B12*(B53/60)*B50,0)</x:f>
        <x:v>0</x:v>
      </x:c>
      <x:c r="C55" s="51"/>
      <x:c r="D55" s="50" t="s">
        <x:v>102</x:v>
      </x:c>
      <x:c r="E55" s="51"/>
      <x:c r="F55" s="51"/>
      <x:c r="G55" s="51"/>
      <x:c r="H55" s="51"/>
    </x:row>
    <x:row r="56" ht="15.75" customHeight="1">
      <x:c r="A56" s="62" t="s">
        <x:v>103</x:v>
      </x:c>
      <x:c r="B56" s="68" t="n">
        <x:f>B54+B55</x:f>
        <x:v>20</x:v>
      </x:c>
      <x:c r="C56" s="51"/>
      <x:c r="D56" s="51"/>
      <x:c r="E56" s="51"/>
      <x:c r="F56" s="51"/>
      <x:c r="G56" s="51"/>
      <x:c r="H56" s="51"/>
    </x:row>
    <x:row r="57" ht="15.75" customHeight="1">
      <x:c r="A57" s="51"/>
      <x:c r="B57" s="51"/>
      <x:c r="C57" s="51"/>
      <x:c r="D57" s="51"/>
      <x:c r="E57" s="51"/>
      <x:c r="F57" s="51"/>
      <x:c r="G57" s="51"/>
      <x:c r="H57" s="51"/>
    </x:row>
    <x:row r="58" ht="15.75" customHeight="1">
      <x:c r="A58" s="52" t="s">
        <x:v>104</x:v>
      </x:c>
      <x:c r="B58" s="53"/>
      <x:c r="C58" s="53"/>
      <x:c r="D58" s="53"/>
      <x:c r="E58" s="53"/>
      <x:c r="F58" s="53"/>
      <x:c r="G58" s="53"/>
      <x:c r="H58" s="53"/>
    </x:row>
    <x:row r="59" ht="15.75" customHeight="1">
      <x:c r="A59" s="54" t="s">
        <x:v>105</x:v>
      </x:c>
      <x:c r="B59" s="60" t="n">
        <x:v>10</x:v>
      </x:c>
      <x:c r="C59" s="51"/>
      <x:c r="D59" s="50" t="s">
        <x:v>106</x:v>
      </x:c>
      <x:c r="E59" s="51"/>
      <x:c r="F59" s="51"/>
      <x:c r="G59" s="51"/>
      <x:c r="H59" s="51"/>
    </x:row>
    <x:row r="60" ht="15.75" customHeight="1">
      <x:c r="A60" s="51"/>
      <x:c r="B60" s="51"/>
      <x:c r="C60" s="51"/>
      <x:c r="D60" s="51"/>
      <x:c r="E60" s="51"/>
      <x:c r="F60" s="51"/>
      <x:c r="G60" s="51"/>
      <x:c r="H60" s="51"/>
    </x:row>
    <x:row r="61" ht="15.75" customHeight="1">
      <x:c r="A61" s="52" t="s">
        <x:v>107</x:v>
      </x:c>
      <x:c r="B61" s="53"/>
      <x:c r="C61" s="53"/>
      <x:c r="D61" s="53"/>
      <x:c r="E61" s="53"/>
      <x:c r="F61" s="53"/>
      <x:c r="G61" s="53"/>
      <x:c r="H61" s="53"/>
    </x:row>
    <x:row r="62" ht="15.75" customHeight="1">
      <x:c r="A62" s="54" t="s">
        <x:v>108</x:v>
      </x:c>
      <x:c r="B62" s="67" t="n">
        <x:f>B9*(B31+B38+B43+B47)</x:f>
        <x:v>9.505952</x:v>
      </x:c>
      <x:c r="C62" s="51"/>
      <x:c r="D62" s="51"/>
      <x:c r="E62" s="51"/>
      <x:c r="F62" s="51"/>
      <x:c r="G62" s="51"/>
      <x:c r="H62" s="51"/>
    </x:row>
    <x:row r="63" ht="15.75" customHeight="1">
      <x:c r="A63" s="54" t="s">
        <x:v>109</x:v>
      </x:c>
      <x:c r="B63" s="67" t="n">
        <x:f>B56</x:f>
        <x:v>20</x:v>
      </x:c>
      <x:c r="C63" s="51"/>
      <x:c r="D63" s="51"/>
      <x:c r="E63" s="51"/>
      <x:c r="F63" s="51"/>
      <x:c r="G63" s="51"/>
      <x:c r="H63" s="51"/>
    </x:row>
    <x:row r="64" ht="15.75" customHeight="1">
      <x:c r="A64" s="54" t="s">
        <x:v>110</x:v>
      </x:c>
      <x:c r="B64" s="67" t="n">
        <x:f>B59</x:f>
        <x:v>10</x:v>
      </x:c>
      <x:c r="C64" s="51"/>
      <x:c r="D64" s="51"/>
      <x:c r="E64" s="51"/>
      <x:c r="F64" s="51"/>
      <x:c r="G64" s="51"/>
      <x:c r="H64" s="51"/>
    </x:row>
    <x:row r="65" ht="15.75" customHeight="1">
      <x:c r="A65" s="54" t="s">
        <x:v>111</x:v>
      </x:c>
      <x:c r="B65" s="67" t="n">
        <x:f>B62+B63+B64</x:f>
        <x:v>39.505952</x:v>
      </x:c>
      <x:c r="C65" s="51"/>
      <x:c r="D65" s="51"/>
      <x:c r="E65" s="51"/>
      <x:c r="F65" s="51"/>
      <x:c r="G65" s="51"/>
      <x:c r="H65" s="51"/>
    </x:row>
    <x:row r="66" ht="15.75" customHeight="1">
      <x:c r="A66" s="62" t="s">
        <x:v>112</x:v>
      </x:c>
      <x:c r="B66" s="63" t="n">
        <x:f>IF(B11=0,0,(B62+B63)/B11)</x:f>
        <x:v>0.06556878222222222</x:v>
      </x:c>
      <x:c r="C66" s="50" t="s">
        <x:v>113</x:v>
      </x:c>
      <x:c r="D66" s="50" t="s">
        <x:v>114</x:v>
      </x:c>
      <x:c r="E66" s="51"/>
      <x:c r="F66" s="51"/>
      <x:c r="G66" s="51"/>
      <x:c r="H66" s="51"/>
    </x:row>
    <x:row r="67" ht="15.75" customHeight="1">
      <x:c r="A67" s="62" t="s">
        <x:v>115</x:v>
      </x:c>
      <x:c r="B67" s="63" t="n">
        <x:f>IF(B11=0,0,B65/B11)</x:f>
        <x:v>0.08779100444444445</x:v>
      </x:c>
      <x:c r="C67" s="50" t="s">
        <x:v>113</x:v>
      </x:c>
      <x:c r="D67" s="51"/>
      <x:c r="E67" s="51"/>
      <x:c r="F67" s="51"/>
      <x:c r="G67" s="51"/>
      <x:c r="H67" s="51"/>
    </x:row>
    <x:row r="68" ht="15.75" customHeight="1">
      <x:c r="A68" s="54" t="s">
        <x:v>116</x:v>
      </x:c>
      <x:c r="B68" s="57" t="n">
        <x:v>26000</x:v>
      </x:c>
      <x:c r="C68" s="50" t="s">
        <x:v>117</x:v>
      </x:c>
      <x:c r="D68" s="50" t="s">
        <x:v>118</x:v>
      </x:c>
      <x:c r="E68" s="51"/>
      <x:c r="F68" s="51"/>
      <x:c r="G68" s="51"/>
      <x:c r="H68" s="51"/>
    </x:row>
    <x:row r="69" ht="15.75" customHeight="1">
      <x:c r="A69" s="54" t="s">
        <x:v>119</x:v>
      </x:c>
      <x:c r="B69" s="69" t="n">
        <x:f>B66*B68</x:f>
        <x:v>1704.7883377777778</x:v>
      </x:c>
      <x:c r="C69" s="50" t="s">
        <x:v>120</x:v>
      </x:c>
      <x:c r="D69" s="51"/>
      <x:c r="E69" s="51"/>
      <x:c r="F69" s="51"/>
      <x:c r="G69" s="51"/>
      <x:c r="H69" s="51"/>
    </x:row>
    <x:row r="70" ht="15.75" customHeight="1">
      <x:c r="A70" s="51"/>
      <x:c r="B70" s="51"/>
      <x:c r="C70" s="51"/>
      <x:c r="D70" s="51"/>
      <x:c r="E70" s="51"/>
      <x:c r="F70" s="51"/>
      <x:c r="G70" s="51"/>
      <x:c r="H70" s="51"/>
    </x:row>
    <x:row r="71" ht="15.75" customHeight="1">
      <x:c r="A71" s="52" t="s">
        <x:v>121</x:v>
      </x:c>
      <x:c r="B71" s="53"/>
      <x:c r="C71" s="53"/>
      <x:c r="D71" s="53"/>
      <x:c r="E71" s="53"/>
      <x:c r="F71" s="53"/>
      <x:c r="G71" s="53"/>
      <x:c r="H71" s="53"/>
    </x:row>
    <x:row r="72" ht="15.75" customHeight="1">
      <x:c r="A72" s="54" t="s">
        <x:v>122</x:v>
      </x:c>
      <x:c r="B72" s="67" t="n">
        <x:f>B9*B31</x:f>
        <x:v>1.3943999999999999</x:v>
      </x:c>
      <x:c r="C72" s="64" t="n">
        <x:f t="shared" ref="C72:C77" si="1">IF($B$65=0,0,B72/$B$65)</x:f>
        <x:v>0.035295947304345425</x:v>
      </x:c>
      <x:c r="D72" s="51"/>
      <x:c r="E72" s="51"/>
      <x:c r="F72" s="51"/>
      <x:c r="G72" s="51"/>
      <x:c r="H72" s="51"/>
    </x:row>
    <x:row r="73" ht="15.75" customHeight="1">
      <x:c r="A73" s="54" t="s">
        <x:v>123</x:v>
      </x:c>
      <x:c r="B73" s="67" t="n">
        <x:f>B9*B38</x:f>
        <x:v>0</x:v>
      </x:c>
      <x:c r="C73" s="64" t="n">
        <x:f t="shared" si="1">IF($B$65=0,0,B73/$B$65)</x:f>
        <x:v>0</x:v>
      </x:c>
      <x:c r="D73" s="51"/>
      <x:c r="E73" s="51"/>
      <x:c r="F73" s="51"/>
      <x:c r="G73" s="51"/>
      <x:c r="H73" s="51"/>
    </x:row>
    <x:row r="74" ht="15.75" customHeight="1">
      <x:c r="A74" s="54" t="s">
        <x:v>124</x:v>
      </x:c>
      <x:c r="B74" s="67" t="n">
        <x:f>B9*B43</x:f>
        <x:v>8</x:v>
      </x:c>
      <x:c r="C74" s="64" t="n">
        <x:f t="shared" si="1">IF($B$65=0,0,B74/$B$65)</x:f>
        <x:v>0.20250113198132777</x:v>
      </x:c>
      <x:c r="D74" s="51"/>
      <x:c r="E74" s="51"/>
      <x:c r="F74" s="51"/>
      <x:c r="G74" s="51"/>
      <x:c r="H74" s="51"/>
    </x:row>
    <x:row r="75" ht="15.75" customHeight="1">
      <x:c r="A75" s="54" t="s">
        <x:v>125</x:v>
      </x:c>
      <x:c r="B75" s="67" t="n">
        <x:f>B9*B47</x:f>
        <x:v>0.111552</x:v>
      </x:c>
      <x:c r="C75" s="64" t="n">
        <x:f t="shared" si="1">IF($B$65=0,0,B75/$B$65)</x:f>
        <x:v>0.0028236757843476345</x:v>
      </x:c>
      <x:c r="D75" s="51"/>
      <x:c r="E75" s="51"/>
      <x:c r="F75" s="51"/>
      <x:c r="G75" s="51"/>
      <x:c r="H75" s="51"/>
    </x:row>
    <x:row r="76" ht="15.75" customHeight="1">
      <x:c r="A76" s="54" t="s">
        <x:v>126</x:v>
      </x:c>
      <x:c r="B76" s="67" t="n">
        <x:f>B56</x:f>
        <x:v>20</x:v>
      </x:c>
      <x:c r="C76" s="64" t="n">
        <x:f t="shared" si="1">IF($B$65=0,0,B76/$B$65)</x:f>
        <x:v>0.5062528299533194</x:v>
      </x:c>
      <x:c r="D76" s="51"/>
      <x:c r="E76" s="51"/>
      <x:c r="F76" s="51"/>
      <x:c r="G76" s="51"/>
      <x:c r="H76" s="51"/>
    </x:row>
    <x:row r="77" ht="15.75" customHeight="1">
      <x:c r="A77" s="54" t="s">
        <x:v>127</x:v>
      </x:c>
      <x:c r="B77" s="67" t="n">
        <x:f>B59</x:f>
        <x:v>10</x:v>
      </x:c>
      <x:c r="C77" s="64" t="n">
        <x:f t="shared" si="1">IF($B$65=0,0,B77/$B$65)</x:f>
        <x:v>0.2531264149766597</x:v>
      </x:c>
      <x:c r="D77" s="51"/>
      <x:c r="E77" s="51"/>
      <x:c r="F77" s="51"/>
      <x:c r="G77" s="51"/>
      <x:c r="H77" s="51"/>
    </x:row>
    <x:row r="78" ht="15.75" customHeight="1">
      <x:c r="A78" s="50" t="s">
        <x:v>128</x:v>
      </x:c>
      <x:c r="B78" s="51"/>
      <x:c r="C78" s="51"/>
      <x:c r="D78" s="51"/>
      <x:c r="E78" s="51"/>
      <x:c r="F78" s="51"/>
      <x:c r="G78" s="51"/>
      <x:c r="H78" s="51"/>
    </x:row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6">
      <x:formula1>"A,B"</x:formula1>
    </x:dataValidation>
  </x:dataValidations>
  <x:pageMargins left="0.7" right="0.7" top="0.75" bottom="0.75" header="0.3" footer="0.3"/>
  <x:legacyDrawing xmlns:r="http://schemas.openxmlformats.org/officeDocument/2006/relationships" r:id="R021f79d282404199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</x:cols>
  <x:sheetData>
    <x:row r="1" ht="24" customHeight="1">
      <x:c r="A1" s="48" t="s">
        <x:v>129</x:v>
      </x:c>
      <x:c r="B1" s="49"/>
      <x:c r="C1" s="49"/>
      <x:c r="D1" s="49"/>
      <x:c r="E1" s="49"/>
      <x:c r="F1" s="49"/>
      <x:c r="G1" s="49"/>
      <x:c r="H1" s="49"/>
    </x:row>
    <x:row r="2">
      <x:c r="A2" s="50" t="s">
        <x:v>130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">
        <x:v>131</x:v>
      </x:c>
      <x:c r="B4" s="53"/>
      <x:c r="C4" s="53"/>
      <x:c r="D4" s="53"/>
      <x:c r="E4" s="53"/>
      <x:c r="F4" s="53"/>
      <x:c r="G4" s="53"/>
      <x:c r="H4" s="53"/>
    </x:row>
    <x:row r="5">
      <x:c r="A5" s="54" t="s">
        <x:v>132</x:v>
      </x:c>
      <x:c r="B5" s="70" t="n">
        <x:f>'1_Cost_Job'!B66</x:f>
        <x:v>0.06556878222222222</x:v>
      </x:c>
      <x:c r="C5" s="50" t="s">
        <x:v>113</x:v>
      </x:c>
      <x:c r="D5" s="51"/>
      <x:c r="E5" s="51"/>
      <x:c r="F5" s="51"/>
      <x:c r="G5" s="51"/>
      <x:c r="H5" s="51"/>
    </x:row>
    <x:row r="6">
      <x:c r="A6" s="54" t="s">
        <x:v>133</x:v>
      </x:c>
      <x:c r="B6" s="66" t="n">
        <x:v>3</x:v>
      </x:c>
      <x:c r="C6" s="50" t="s">
        <x:v>134</x:v>
      </x:c>
      <x:c r="D6" s="50" t="s">
        <x:v>135</x:v>
      </x:c>
      <x:c r="E6" s="51"/>
      <x:c r="F6" s="51"/>
      <x:c r="G6" s="51"/>
      <x:c r="H6" s="51"/>
    </x:row>
    <x:row r="7">
      <x:c r="A7" s="62" t="s">
        <x:v>136</x:v>
      </x:c>
      <x:c r="B7" s="63" t="n">
        <x:f>B5*B6</x:f>
        <x:v>0.19670634666666664</x:v>
      </x:c>
      <x:c r="C7" s="50" t="s">
        <x:v>113</x:v>
      </x:c>
      <x:c r="D7" s="51"/>
      <x:c r="E7" s="51"/>
      <x:c r="F7" s="51"/>
      <x:c r="G7" s="51"/>
      <x:c r="H7" s="51"/>
    </x:row>
    <x:row r="8">
      <x:c r="A8" s="51"/>
      <x:c r="B8" s="51"/>
      <x:c r="C8" s="51"/>
      <x:c r="D8" s="51"/>
      <x:c r="E8" s="51"/>
      <x:c r="F8" s="51"/>
      <x:c r="G8" s="51"/>
      <x:c r="H8" s="51"/>
    </x:row>
    <x:row r="9">
      <x:c r="A9" s="52" t="s">
        <x:v>137</x:v>
      </x:c>
      <x:c r="B9" s="53"/>
      <x:c r="C9" s="53"/>
      <x:c r="D9" s="53"/>
      <x:c r="E9" s="53"/>
      <x:c r="F9" s="53"/>
      <x:c r="G9" s="53"/>
      <x:c r="H9" s="53"/>
    </x:row>
    <x:row r="10">
      <x:c r="A10" s="54" t="s">
        <x:v>138</x:v>
      </x:c>
      <x:c r="B10" s="71" t="n">
        <x:v>540</x:v>
      </x:c>
      <x:c r="C10" s="51"/>
      <x:c r="D10" s="50" t="s">
        <x:v>139</x:v>
      </x:c>
      <x:c r="E10" s="51"/>
      <x:c r="F10" s="51"/>
      <x:c r="G10" s="51"/>
      <x:c r="H10" s="51"/>
    </x:row>
    <x:row r="11">
      <x:c r="A11" s="54" t="s">
        <x:v>140</x:v>
      </x:c>
      <x:c r="B11" s="57" t="n">
        <x:v>450</x:v>
      </x:c>
      <x:c r="C11" s="50" t="s">
        <x:v>39</x:v>
      </x:c>
      <x:c r="D11" s="51"/>
      <x:c r="E11" s="51"/>
      <x:c r="F11" s="51"/>
      <x:c r="G11" s="51"/>
      <x:c r="H11" s="51"/>
    </x:row>
    <x:row r="12">
      <x:c r="A12" s="54" t="s">
        <x:v>141</x:v>
      </x:c>
      <x:c r="B12" s="61" t="n">
        <x:f>IF(B11=0,0,B10*0.1/B11)</x:f>
        <x:v>0.12</x:v>
      </x:c>
      <x:c r="C12" s="50" t="s">
        <x:v>113</x:v>
      </x:c>
      <x:c r="D12" s="51"/>
      <x:c r="E12" s="51"/>
      <x:c r="F12" s="51"/>
      <x:c r="G12" s="51"/>
      <x:c r="H12" s="51"/>
    </x:row>
    <x:row r="13">
      <x:c r="A13" s="54" t="s">
        <x:v>142</x:v>
      </x:c>
      <x:c r="B13" s="61" t="n">
        <x:f>IF(B11=0,0,B10*0.25/B11)</x:f>
        <x:v>0.3</x:v>
      </x:c>
      <x:c r="C13" s="50" t="s">
        <x:v>113</x:v>
      </x:c>
      <x:c r="D13" s="51"/>
      <x:c r="E13" s="51"/>
      <x:c r="F13" s="51"/>
      <x:c r="G13" s="51"/>
      <x:c r="H13" s="51"/>
    </x:row>
    <x:row r="14">
      <x:c r="A14" s="54" t="s">
        <x:v>143</x:v>
      </x:c>
      <x:c r="B14" s="71" t="n">
        <x:v>600</x:v>
      </x:c>
      <x:c r="C14" s="51"/>
      <x:c r="D14" s="50" t="s">
        <x:v>144</x:v>
      </x:c>
      <x:c r="E14" s="51"/>
      <x:c r="F14" s="51"/>
      <x:c r="G14" s="51"/>
      <x:c r="H14" s="51"/>
    </x:row>
    <x:row r="15">
      <x:c r="A15" s="54" t="s">
        <x:v>145</x:v>
      </x:c>
      <x:c r="B15" s="61" t="n">
        <x:f>IF(B11=0,0,B14*0.5/B11)</x:f>
        <x:v>0.6666666666666666</x:v>
      </x:c>
      <x:c r="C15" s="50" t="s">
        <x:v>113</x:v>
      </x:c>
      <x:c r="D15" s="51"/>
      <x:c r="E15" s="51"/>
      <x:c r="F15" s="51"/>
      <x:c r="G15" s="51"/>
      <x:c r="H15" s="51"/>
    </x:row>
    <x:row r="16">
      <x:c r="A16" s="54" t="s">
        <x:v>146</x:v>
      </x:c>
      <x:c r="B16" s="61" t="n">
        <x:f>IF(B11=0,0,B14*0.7/B11)</x:f>
        <x:v>0.9333333333333333</x:v>
      </x:c>
      <x:c r="C16" s="50" t="s">
        <x:v>113</x:v>
      </x:c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2" t="s">
        <x:v>147</x:v>
      </x:c>
      <x:c r="B18" s="53"/>
      <x:c r="C18" s="53"/>
      <x:c r="D18" s="53"/>
      <x:c r="E18" s="53"/>
      <x:c r="F18" s="53"/>
      <x:c r="G18" s="53"/>
      <x:c r="H18" s="53"/>
    </x:row>
    <x:row r="19">
      <x:c r="A19" s="54" t="s">
        <x:v>148</x:v>
      </x:c>
      <x:c r="B19" s="65" t="n">
        <x:v>0.27</x:v>
      </x:c>
      <x:c r="C19" s="50" t="s">
        <x:v>113</x:v>
      </x:c>
      <x:c r="D19" s="50" t="s">
        <x:v>149</x:v>
      </x:c>
      <x:c r="E19" s="51"/>
      <x:c r="F19" s="51"/>
      <x:c r="G19" s="51"/>
      <x:c r="H19" s="51"/>
    </x:row>
    <x:row r="20">
      <x:c r="A20" s="54" t="s">
        <x:v>150</x:v>
      </x:c>
      <x:c r="B20" s="72" t="n">
        <x:f>IF(B5=0,0,B19/B5)</x:f>
        <x:v>4.117813246629019</x:v>
      </x:c>
      <x:c r="C20" s="51"/>
      <x:c r="D20" s="51"/>
      <x:c r="E20" s="51"/>
      <x:c r="F20" s="51"/>
      <x:c r="G20" s="51"/>
      <x:c r="H20" s="51"/>
    </x:row>
    <x:row r="21" ht="15.75" customHeight="1">
      <x:c r="A21" s="62" t="s">
        <x:v>151</x:v>
      </x:c>
      <x:c r="B21" s="73" t="n">
        <x:f>IF(B19=0,0,(B19-B5)/B19)</x:f>
        <x:v>0.7571526584362139</x:v>
      </x:c>
      <x:c r="C21" s="51"/>
      <x:c r="D21" s="51"/>
      <x:c r="E21" s="51"/>
      <x:c r="F21" s="51"/>
      <x:c r="G21" s="51"/>
      <x:c r="H21" s="51"/>
    </x:row>
    <x:row r="22" ht="15.75" customHeight="1">
      <x:c r="A22" s="54" t="s">
        <x:v>152</x:v>
      </x:c>
      <x:c r="B22" s="74" t="str">
        <x:f>IF(B20&gt;=B6,"OK — ĐẠT","KHÔNG ĐẠT — quay lại tab 1")</x:f>
        <x:v>OK — ĐẠT</x:v>
      </x:c>
      <x:c r="C22" s="51"/>
      <x:c r="D22" s="51"/>
      <x:c r="E22" s="51"/>
      <x:c r="F22" s="51"/>
      <x:c r="G22" s="51"/>
      <x:c r="H22" s="51"/>
    </x:row>
    <x:row r="23" ht="15.75" customHeight="1">
      <x:c r="A23" s="54" t="s">
        <x:v>153</x:v>
      </x:c>
      <x:c r="B23" s="74" t="str">
        <x:f>IF(B21&gt;=0.6,"OK — AN TOÀN (≥60%)",IF(B21&gt;=0.5,"CẢNH BÁO (50–60%)","NGUY HIỂM (&lt;50%)"))</x:f>
        <x:v>OK — AN TOÀN (≥60%)</x:v>
      </x:c>
      <x:c r="C23" s="51"/>
      <x:c r="D23" s="51"/>
      <x:c r="E23" s="51"/>
      <x:c r="F23" s="51"/>
      <x:c r="G23" s="51"/>
      <x:c r="H23" s="51"/>
    </x:row>
    <x:row r="24" ht="15.75" customHeight="1">
      <x:c r="A24" s="54" t="s">
        <x:v>154</x:v>
      </x:c>
      <x:c r="B24" s="74" t="str">
        <x:f>IF(B21&gt;0.85,"NGHI NGỜ — nhiều khả năng bạn quên một khoản chi phí","OK")</x:f>
        <x:v>OK</x:v>
      </x:c>
      <x:c r="C24" s="51"/>
      <x:c r="D24" s="51"/>
      <x:c r="E24" s="51"/>
      <x:c r="F24" s="51"/>
      <x:c r="G24" s="51"/>
      <x:c r="H24" s="51"/>
    </x:row>
    <x:row r="25" ht="15.75" customHeight="1">
      <x:c r="A25" s="54" t="s">
        <x:v>155</x:v>
      </x:c>
      <x:c r="B25" s="74" t="str">
        <x:f>IF(AND(B19&gt;=B7,B19&lt;=MAX(B13,B16)),"OK — trong vùng giá bán","XEM LẠI — ngoài vùng giá sàn/trần")</x:f>
        <x:v>OK — trong vùng giá bán</x:v>
      </x:c>
      <x:c r="C25" s="51"/>
      <x:c r="D25" s="51"/>
      <x:c r="E25" s="51"/>
      <x:c r="F25" s="51"/>
      <x:c r="G25" s="51"/>
      <x:c r="H25" s="51"/>
    </x:row>
    <x:row r="26" ht="15.75" customHeight="1">
      <x:c r="A26" s="51"/>
      <x:c r="B26" s="51"/>
      <x:c r="C26" s="51"/>
      <x:c r="D26" s="51"/>
      <x:c r="E26" s="51"/>
      <x:c r="F26" s="51"/>
      <x:c r="G26" s="51"/>
      <x:c r="H26" s="51"/>
    </x:row>
    <x:row r="27" ht="15.75" customHeight="1">
      <x:c r="A27" s="52" t="s">
        <x:v>156</x:v>
      </x:c>
      <x:c r="B27" s="53"/>
      <x:c r="C27" s="53"/>
      <x:c r="D27" s="53"/>
      <x:c r="E27" s="53"/>
      <x:c r="F27" s="53"/>
      <x:c r="G27" s="53"/>
      <x:c r="H27" s="53"/>
    </x:row>
    <x:row r="28" ht="15.75" customHeight="1">
      <x:c r="A28" s="50" t="s">
        <x:v>157</x:v>
      </x:c>
      <x:c r="B28" s="51"/>
      <x:c r="C28" s="51"/>
      <x:c r="D28" s="51"/>
      <x:c r="E28" s="51"/>
      <x:c r="F28" s="51"/>
      <x:c r="G28" s="51"/>
      <x:c r="H28" s="51"/>
    </x:row>
    <x:row r="29" ht="15.75" customHeight="1">
      <x:c r="A29" s="54" t="s">
        <x:v>158</x:v>
      </x:c>
      <x:c r="B29" s="70" t="n">
        <x:f>'1_Cost_Job'!B31+'1_Cost_Job'!B38+'1_Cost_Job'!B43+'1_Cost_Job'!B47</x:f>
        <x:v>0.009505952</x:v>
      </x:c>
      <x:c r="C29" s="51"/>
      <x:c r="D29" s="51"/>
      <x:c r="E29" s="51"/>
      <x:c r="F29" s="51"/>
      <x:c r="G29" s="51"/>
      <x:c r="H29" s="51"/>
    </x:row>
    <x:row r="30" ht="15.75" customHeight="1">
      <x:c r="A30" s="54" t="s">
        <x:v>159</x:v>
      </x:c>
      <x:c r="B30" s="70" t="n">
        <x:f>'1_Cost_Job'!B51*('1_Cost_Job'!B52/60)*'1_Cost_Job'!B50</x:f>
        <x:v>0.02</x:v>
      </x:c>
      <x:c r="C30" s="51"/>
      <x:c r="D30" s="51"/>
      <x:c r="E30" s="51"/>
      <x:c r="F30" s="51"/>
      <x:c r="G30" s="51"/>
      <x:c r="H30" s="51"/>
    </x:row>
    <x:row r="31" ht="15.75" customHeight="1">
      <x:c r="A31" s="54" t="s">
        <x:v>160</x:v>
      </x:c>
      <x:c r="B31" s="70" t="n">
        <x:f>IF('1_Cost_Job'!B6="B",('1_Cost_Job'!B53/60)*'1_Cost_Job'!B50,0)</x:f>
        <x:v>0</x:v>
      </x:c>
      <x:c r="C31" s="51"/>
      <x:c r="D31" s="51"/>
      <x:c r="E31" s="51"/>
      <x:c r="F31" s="51"/>
      <x:c r="G31" s="51"/>
      <x:c r="H31" s="51"/>
    </x:row>
    <x:row r="32" ht="15.75" customHeight="1">
      <x:c r="A32" s="54" t="s">
        <x:v>161</x:v>
      </x:c>
      <x:c r="B32" s="58" t="n">
        <x:v>0.6</x:v>
      </x:c>
      <x:c r="C32" s="51"/>
      <x:c r="D32" s="51"/>
      <x:c r="E32" s="51"/>
      <x:c r="F32" s="51"/>
      <x:c r="G32" s="51"/>
      <x:c r="H32" s="51"/>
    </x:row>
    <x:row r="33" ht="15.75" customHeight="1">
      <x:c r="A33" s="62" t="s">
        <x:v>162</x:v>
      </x:c>
      <x:c r="B33" s="73" t="n">
        <x:f>IF((B19*(1-B32)+B31)=0,0,(B29+B30+B31)/(B19*(1-B32)+B31))</x:f>
        <x:v>0.27320325925925926</x:v>
      </x:c>
      <x:c r="C33" s="51"/>
      <x:c r="D33" s="50" t="s">
        <x:v>163</x:v>
      </x:c>
      <x:c r="E33" s="51"/>
      <x:c r="F33" s="51"/>
      <x:c r="G33" s="51"/>
      <x:c r="H33" s="51"/>
    </x:row>
    <x:row r="34" ht="15.75" customHeight="1">
      <x:c r="A34" s="54" t="s">
        <x:v>164</x:v>
      </x:c>
      <x:c r="B34" s="75" t="n">
        <x:f>'1_Cost_Job'!B10</x:f>
        <x:v>0.45</x:v>
      </x:c>
      <x:c r="C34" s="51"/>
      <x:c r="D34" s="51"/>
      <x:c r="E34" s="51"/>
      <x:c r="F34" s="51"/>
      <x:c r="G34" s="51"/>
      <x:c r="H34" s="51"/>
    </x:row>
    <x:row r="35" ht="15.75" customHeight="1">
      <x:c r="A35" s="54" t="s">
        <x:v>165</x:v>
      </x:c>
      <x:c r="B35" s="74" t="str">
        <x:f>IF(B34&gt;=B33,"ĐẠT — mô hình có lãi lành mạnh","CHƯA ĐẠT — phải tăng containment, tăng giá, hoặc đổi biến thể HITL")</x:f>
        <x:v>ĐẠT — mô hình có lãi lành mạnh</x:v>
      </x:c>
      <x:c r="C35" s="51"/>
      <x:c r="D35" s="51"/>
      <x:c r="E35" s="51"/>
      <x:c r="F35" s="51"/>
      <x:c r="G35" s="51"/>
      <x:c r="H35" s="51"/>
    </x:row>
    <x:row r="36" ht="15.75" customHeight="1">
      <x:c r="A36" s="51"/>
      <x:c r="B36" s="51"/>
      <x:c r="C36" s="51"/>
      <x:c r="D36" s="51"/>
      <x:c r="E36" s="51"/>
      <x:c r="F36" s="51"/>
      <x:c r="G36" s="51"/>
      <x:c r="H36" s="51"/>
    </x:row>
    <x:row r="37" ht="15.75" customHeight="1">
      <x:c r="A37" s="52" t="s">
        <x:v>166</x:v>
      </x:c>
      <x:c r="B37" s="53"/>
      <x:c r="C37" s="53"/>
      <x:c r="D37" s="53"/>
      <x:c r="E37" s="53"/>
      <x:c r="F37" s="53"/>
      <x:c r="G37" s="53"/>
      <x:c r="H37" s="53"/>
    </x:row>
    <x:row r="38" ht="15.75" customHeight="1">
      <x:c r="A38" s="76" t="s">
        <x:v>167</x:v>
      </x:c>
      <x:c r="B38" s="76" t="s">
        <x:v>168</x:v>
      </x:c>
      <x:c r="C38" s="76" t="s">
        <x:v>169</x:v>
      </x:c>
      <x:c r="D38" s="76" t="s">
        <x:v>170</x:v>
      </x:c>
      <x:c r="E38" s="51"/>
      <x:c r="F38" s="51"/>
      <x:c r="G38" s="51"/>
      <x:c r="H38" s="51"/>
    </x:row>
    <x:row r="39" ht="15.75" customHeight="1">
      <x:c r="A39" s="77">
        <x:v>0.5</x:v>
      </x:c>
      <x:c r="B39" s="61" t="n">
        <x:f t="shared" ref="B39:B44" si="1">($B$29+$B$30+$B$31*(1-A39))/A39</x:f>
        <x:v>0.059011904000000004</x:v>
      </x:c>
      <x:c r="C39" s="64" t="n">
        <x:f t="shared" ref="C39:C44" si="2">IF($B$19=0,0,1-B39/$B$19)</x:f>
        <x:v>0.7814373925925926</x:v>
      </x:c>
      <x:c r="D39" s="74" t="str">
        <x:f t="shared" ref="D39:D44" si="3">IF(C39&gt;=0.6,"An toàn",IF(C39&gt;=0.5,"Cảnh báo","Nguy hiểm"))</x:f>
        <x:v>An toàn</x:v>
      </x:c>
      <x:c r="E39" s="51"/>
      <x:c r="F39" s="51"/>
      <x:c r="G39" s="51"/>
      <x:c r="H39" s="51"/>
    </x:row>
    <x:row r="40" ht="15.75" customHeight="1">
      <x:c r="A40" s="77">
        <x:v>0.6</x:v>
      </x:c>
      <x:c r="B40" s="61" t="n">
        <x:f t="shared" si="1">($B$29+$B$30+$B$31*(1-A40))/A40</x:f>
        <x:v>0.049176586666666675</x:v>
      </x:c>
      <x:c r="C40" s="64" t="n">
        <x:f t="shared" si="2">IF($B$19=0,0,1-B40/$B$19)</x:f>
        <x:v>0.8178644938271604</x:v>
      </x:c>
      <x:c r="D40" s="74" t="str">
        <x:f t="shared" si="3">IF(C40&gt;=0.6,"An toàn",IF(C40&gt;=0.5,"Cảnh báo","Nguy hiểm"))</x:f>
        <x:v>An toàn</x:v>
      </x:c>
      <x:c r="E40" s="51"/>
      <x:c r="F40" s="51"/>
      <x:c r="G40" s="51"/>
      <x:c r="H40" s="51"/>
    </x:row>
    <x:row r="41" ht="15.75" customHeight="1">
      <x:c r="A41" s="77">
        <x:v>0.7</x:v>
      </x:c>
      <x:c r="B41" s="61" t="n">
        <x:f t="shared" si="1">($B$29+$B$30+$B$31*(1-A41))/A41</x:f>
        <x:v>0.042151360000000006</x:v>
      </x:c>
      <x:c r="C41" s="64" t="n">
        <x:f t="shared" si="2">IF($B$19=0,0,1-B41/$B$19)</x:f>
        <x:v>0.8438838518518519</x:v>
      </x:c>
      <x:c r="D41" s="74" t="str">
        <x:f t="shared" si="3">IF(C41&gt;=0.6,"An toàn",IF(C41&gt;=0.5,"Cảnh báo","Nguy hiểm"))</x:f>
        <x:v>An toàn</x:v>
      </x:c>
      <x:c r="E41" s="51"/>
      <x:c r="F41" s="51"/>
      <x:c r="G41" s="51"/>
      <x:c r="H41" s="51"/>
    </x:row>
    <x:row r="42" ht="15.75" customHeight="1">
      <x:c r="A42" s="77">
        <x:v>0.8</x:v>
      </x:c>
      <x:c r="B42" s="61" t="n">
        <x:f t="shared" si="1">($B$29+$B$30+$B$31*(1-A42))/A42</x:f>
        <x:v>0.03688244</x:v>
      </x:c>
      <x:c r="C42" s="64" t="n">
        <x:f t="shared" si="2">IF($B$19=0,0,1-B42/$B$19)</x:f>
        <x:v>0.8633983703703704</x:v>
      </x:c>
      <x:c r="D42" s="74" t="str">
        <x:f t="shared" si="3">IF(C42&gt;=0.6,"An toàn",IF(C42&gt;=0.5,"Cảnh báo","Nguy hiểm"))</x:f>
        <x:v>An toàn</x:v>
      </x:c>
      <x:c r="E42" s="51"/>
      <x:c r="F42" s="51"/>
      <x:c r="G42" s="51"/>
      <x:c r="H42" s="51"/>
    </x:row>
    <x:row r="43" ht="15.75" customHeight="1">
      <x:c r="A43" s="77">
        <x:v>0.9</x:v>
      </x:c>
      <x:c r="B43" s="61" t="n">
        <x:f t="shared" si="1">($B$29+$B$30+$B$31*(1-A43))/A43</x:f>
        <x:v>0.03278439111111111</x:v>
      </x:c>
      <x:c r="C43" s="64" t="n">
        <x:f t="shared" si="2">IF($B$19=0,0,1-B43/$B$19)</x:f>
        <x:v>0.878576329218107</x:v>
      </x:c>
      <x:c r="D43" s="74" t="str">
        <x:f t="shared" si="3">IF(C43&gt;=0.6,"An toàn",IF(C43&gt;=0.5,"Cảnh báo","Nguy hiểm"))</x:f>
        <x:v>An toàn</x:v>
      </x:c>
      <x:c r="E43" s="51"/>
      <x:c r="F43" s="51"/>
      <x:c r="G43" s="51"/>
      <x:c r="H43" s="51"/>
    </x:row>
    <x:row r="44" ht="15.75" customHeight="1">
      <x:c r="A44" s="77">
        <x:v>0.95</x:v>
      </x:c>
      <x:c r="B44" s="61" t="n">
        <x:f t="shared" si="1">($B$29+$B$30+$B$31*(1-A44))/A44</x:f>
        <x:v>0.031058896842105266</x:v>
      </x:c>
      <x:c r="C44" s="64" t="n">
        <x:f t="shared" si="2">IF($B$19=0,0,1-B44/$B$19)</x:f>
        <x:v>0.8849670487329435</x:v>
      </x:c>
      <x:c r="D44" s="74" t="str">
        <x:f t="shared" si="3">IF(C44&gt;=0.6,"An toàn",IF(C44&gt;=0.5,"Cảnh báo","Nguy hiểm"))</x:f>
        <x:v>An toàn</x:v>
      </x:c>
      <x:c r="E44" s="51"/>
      <x:c r="F44" s="51"/>
      <x:c r="G44" s="51"/>
      <x:c r="H44" s="51"/>
    </x:row>
    <x:row r="45" ht="15.75" customHeight="1">
      <x:c r="A45" s="51"/>
      <x:c r="B45" s="51"/>
      <x:c r="C45" s="51"/>
      <x:c r="D45" s="51"/>
      <x:c r="E45" s="51"/>
      <x:c r="F45" s="51"/>
      <x:c r="G45" s="51"/>
      <x:c r="H45" s="51"/>
    </x:row>
    <x:row r="46" ht="15.75" customHeight="1">
      <x:c r="A46" s="50" t="s">
        <x:v>171</x:v>
      </x:c>
      <x:c r="B46" s="51"/>
      <x:c r="C46" s="51"/>
      <x:c r="D46" s="51"/>
      <x:c r="E46" s="51"/>
      <x:c r="F46" s="51"/>
      <x:c r="G46" s="51"/>
      <x:c r="H46" s="51"/>
    </x:row>
    <x:row r="47" ht="15.75" customHeight="1">
      <x:c r="A47" s="51"/>
      <x:c r="B47" s="51"/>
      <x:c r="C47" s="51"/>
      <x:c r="D47" s="51"/>
      <x:c r="E47" s="51"/>
      <x:c r="F47" s="51"/>
      <x:c r="G47" s="51"/>
      <x:c r="H47" s="51"/>
    </x:row>
    <x:row r="48" ht="15.75" customHeight="1">
      <x:c r="A48" s="52" t="s">
        <x:v>172</x:v>
      </x:c>
      <x:c r="B48" s="53"/>
      <x:c r="C48" s="53"/>
      <x:c r="D48" s="53"/>
      <x:c r="E48" s="53"/>
      <x:c r="F48" s="53"/>
      <x:c r="G48" s="53"/>
      <x:c r="H48" s="53"/>
    </x:row>
    <x:row r="49" ht="15.75" customHeight="1">
      <x:c r="A49" s="62" t="s">
        <x:v>168</x:v>
      </x:c>
      <x:c r="B49" s="63" t="n">
        <x:f>B5</x:f>
        <x:v>0.06556878222222222</x:v>
      </x:c>
      <x:c r="C49" s="51"/>
      <x:c r="D49" s="51"/>
      <x:c r="E49" s="51"/>
      <x:c r="F49" s="51"/>
      <x:c r="G49" s="51"/>
      <x:c r="H49" s="51"/>
    </x:row>
    <x:row r="50" ht="15.75" customHeight="1">
      <x:c r="A50" s="62" t="s">
        <x:v>173</x:v>
      </x:c>
      <x:c r="B50" s="63" t="n">
        <x:f>B7</x:f>
        <x:v>0.19670634666666664</x:v>
      </x:c>
      <x:c r="C50" s="51"/>
      <x:c r="D50" s="51"/>
      <x:c r="E50" s="51"/>
      <x:c r="F50" s="51"/>
      <x:c r="G50" s="51"/>
      <x:c r="H50" s="51"/>
    </x:row>
    <x:row r="51" ht="15.75" customHeight="1">
      <x:c r="A51" s="62" t="s">
        <x:v>174</x:v>
      </x:c>
      <x:c r="B51" s="63" t="n">
        <x:f>B19</x:f>
        <x:v>0.27</x:v>
      </x:c>
      <x:c r="C51" s="51"/>
      <x:c r="D51" s="51"/>
      <x:c r="E51" s="51"/>
      <x:c r="F51" s="51"/>
      <x:c r="G51" s="51"/>
      <x:c r="H51" s="51"/>
    </x:row>
    <x:row r="52" ht="15.75" customHeight="1">
      <x:c r="A52" s="62" t="s">
        <x:v>169</x:v>
      </x:c>
      <x:c r="B52" s="73" t="n">
        <x:f>B21</x:f>
        <x:v>0.7571526584362139</x:v>
      </x:c>
      <x:c r="C52" s="51"/>
      <x:c r="D52" s="51"/>
      <x:c r="E52" s="51"/>
      <x:c r="F52" s="51"/>
      <x:c r="G52" s="51"/>
      <x:c r="H52" s="51"/>
    </x:row>
    <x:row r="53" ht="15.75" customHeight="1">
      <x:c r="A53" s="62" t="s">
        <x:v>175</x:v>
      </x:c>
      <x:c r="B53" s="73" t="n">
        <x:f>B33</x:f>
        <x:v>0.27320325925925926</x:v>
      </x:c>
      <x:c r="C53" s="51"/>
      <x:c r="D53" s="51"/>
      <x:c r="E53" s="51"/>
      <x:c r="F53" s="51"/>
      <x:c r="G53" s="51"/>
      <x:c r="H53" s="51"/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72" customWidth="1"/>
    <x:col min="2" max="2" width="65" hidden="0" customWidth="1"/>
    <x:col min="3" max="3" width="45" hidden="0" customWidth="1"/>
    <x:col min="4" max="4" width="45" hidden="0" customWidth="1"/>
    <x:col min="5" max="8" width="15" customWidth="1"/>
    <x:col min="9" max="26" width="8.710000038146973" customWidth="1"/>
  </x:cols>
  <x:sheetData>
    <x:row r="1" ht="24" customHeight="1">
      <x:c r="A1" s="48" t="s">
        <x:v>176</x:v>
      </x:c>
      <x:c r="B1" s="49"/>
      <x:c r="C1" s="49"/>
      <x:c r="D1" s="49"/>
      <x:c r="E1" s="49"/>
      <x:c r="F1" s="49"/>
      <x:c r="G1" s="49"/>
      <x:c r="H1" s="49"/>
    </x:row>
    <x:row r="2">
      <x:c r="A2" s="50" t="s">
        <x:v>177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">
        <x:v>178</x:v>
      </x:c>
      <x:c r="B4" s="53"/>
      <x:c r="C4" s="53"/>
      <x:c r="D4" s="53"/>
      <x:c r="E4" s="53"/>
      <x:c r="F4" s="53"/>
      <x:c r="G4" s="53"/>
      <x:c r="H4" s="53"/>
    </x:row>
    <x:row r="5">
      <x:c r="A5" s="54" t="s">
        <x:v>179</x:v>
      </x:c>
      <x:c r="B5" s="78" t="n">
        <x:v>1</x:v>
      </x:c>
      <x:c r="C5" s="51"/>
      <x:c r="D5" s="51"/>
      <x:c r="E5" s="51"/>
      <x:c r="F5" s="51"/>
      <x:c r="G5" s="51"/>
      <x:c r="H5" s="51"/>
    </x:row>
    <x:row r="6">
      <x:c r="A6" s="54" t="s">
        <x:v>180</x:v>
      </x:c>
      <x:c r="B6" s="78" t="n">
        <x:v>2</x:v>
      </x:c>
      <x:c r="C6" s="51"/>
      <x:c r="D6" s="51"/>
      <x:c r="E6" s="51"/>
      <x:c r="F6" s="51"/>
      <x:c r="G6" s="51"/>
      <x:c r="H6" s="51"/>
    </x:row>
    <x:row r="7">
      <x:c r="A7" s="54" t="s">
        <x:v>181</x:v>
      </x:c>
      <x:c r="B7" s="78" t="n">
        <x:v>0</x:v>
      </x:c>
      <x:c r="C7" s="51"/>
      <x:c r="D7" s="51"/>
      <x:c r="E7" s="51"/>
      <x:c r="F7" s="51"/>
      <x:c r="G7" s="51"/>
      <x:c r="H7" s="51"/>
    </x:row>
    <x:row r="8">
      <x:c r="A8" s="54" t="s">
        <x:v>182</x:v>
      </x:c>
      <x:c r="B8" s="78" t="n">
        <x:v>1</x:v>
      </x:c>
      <x:c r="C8" s="51"/>
      <x:c r="D8" s="51"/>
      <x:c r="E8" s="51"/>
      <x:c r="F8" s="51"/>
      <x:c r="G8" s="51"/>
      <x:c r="H8" s="51"/>
    </x:row>
    <x:row r="9">
      <x:c r="A9" s="54" t="s">
        <x:v>183</x:v>
      </x:c>
      <x:c r="B9" s="78" t="n">
        <x:v>1</x:v>
      </x:c>
      <x:c r="C9" s="51"/>
      <x:c r="D9" s="51"/>
      <x:c r="E9" s="51"/>
      <x:c r="F9" s="51"/>
      <x:c r="G9" s="51"/>
      <x:c r="H9" s="51"/>
    </x:row>
    <x:row r="10">
      <x:c r="A10" s="62" t="s">
        <x:v>184</x:v>
      </x:c>
      <x:c r="B10" s="79" t="n">
        <x:f>SUM(B5:B9)</x:f>
        <x:v>5</x:v>
      </x:c>
      <x:c r="C10" s="51"/>
      <x:c r="D10" s="51"/>
      <x:c r="E10" s="51"/>
      <x:c r="F10" s="51"/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>
      <x:c r="A12" s="52" t="s">
        <x:v>185</x:v>
      </x:c>
      <x:c r="B12" s="53"/>
      <x:c r="C12" s="53"/>
      <x:c r="D12" s="53"/>
      <x:c r="E12" s="53"/>
      <x:c r="F12" s="53"/>
      <x:c r="G12" s="53"/>
      <x:c r="H12" s="53"/>
    </x:row>
    <x:row r="13">
      <x:c r="A13" s="54" t="s">
        <x:v>186</x:v>
      </x:c>
      <x:c r="B13" s="78" t="n">
        <x:v>1</x:v>
      </x:c>
      <x:c r="C13" s="51"/>
      <x:c r="D13" s="51"/>
      <x:c r="E13" s="51"/>
      <x:c r="F13" s="51"/>
      <x:c r="G13" s="51"/>
      <x:c r="H13" s="51"/>
    </x:row>
    <x:row r="14">
      <x:c r="A14" s="54" t="s">
        <x:v>187</x:v>
      </x:c>
      <x:c r="B14" s="78" t="n">
        <x:v>0</x:v>
      </x:c>
      <x:c r="C14" s="51"/>
      <x:c r="D14" s="51"/>
      <x:c r="E14" s="51"/>
      <x:c r="F14" s="51"/>
      <x:c r="G14" s="51"/>
      <x:c r="H14" s="51"/>
    </x:row>
    <x:row r="15">
      <x:c r="A15" s="54" t="s">
        <x:v>188</x:v>
      </x:c>
      <x:c r="B15" s="78" t="n">
        <x:v>0</x:v>
      </x:c>
      <x:c r="C15" s="51"/>
      <x:c r="D15" s="51"/>
      <x:c r="E15" s="51"/>
      <x:c r="F15" s="51"/>
      <x:c r="G15" s="51"/>
      <x:c r="H15" s="51"/>
    </x:row>
    <x:row r="16">
      <x:c r="A16" s="54" t="s">
        <x:v>189</x:v>
      </x:c>
      <x:c r="B16" s="78" t="n">
        <x:v>0</x:v>
      </x:c>
      <x:c r="C16" s="51"/>
      <x:c r="D16" s="51"/>
      <x:c r="E16" s="51"/>
      <x:c r="F16" s="51"/>
      <x:c r="G16" s="51"/>
      <x:c r="H16" s="51"/>
    </x:row>
    <x:row r="17">
      <x:c r="A17" s="54" t="s">
        <x:v>190</x:v>
      </x:c>
      <x:c r="B17" s="78" t="n">
        <x:v>0</x:v>
      </x:c>
      <x:c r="C17" s="51"/>
      <x:c r="D17" s="51"/>
      <x:c r="E17" s="51"/>
      <x:c r="F17" s="51"/>
      <x:c r="G17" s="51"/>
      <x:c r="H17" s="51"/>
    </x:row>
    <x:row r="18">
      <x:c r="A18" s="62" t="s">
        <x:v>191</x:v>
      </x:c>
      <x:c r="B18" s="79" t="n">
        <x:f>SUM(B13:B17)</x:f>
        <x:v>1</x:v>
      </x:c>
      <x:c r="C18" s="51"/>
      <x:c r="D18" s="51"/>
      <x:c r="E18" s="51"/>
      <x:c r="F18" s="51"/>
      <x:c r="G18" s="51"/>
      <x:c r="H18" s="51"/>
    </x:row>
    <x:row r="19">
      <x:c r="A19" s="51"/>
      <x:c r="B19" s="51"/>
      <x:c r="C19" s="51"/>
      <x:c r="D19" s="51"/>
      <x:c r="E19" s="51"/>
      <x:c r="F19" s="51"/>
      <x:c r="G19" s="51"/>
      <x:c r="H19" s="51"/>
    </x:row>
    <x:row r="20">
      <x:c r="A20" s="52" t="s">
        <x:v>192</x:v>
      </x:c>
      <x:c r="B20" s="53"/>
      <x:c r="C20" s="53"/>
      <x:c r="D20" s="53"/>
      <x:c r="E20" s="53"/>
      <x:c r="F20" s="53"/>
      <x:c r="G20" s="53"/>
      <x:c r="H20" s="53"/>
    </x:row>
    <x:row r="21" ht="15.75" customHeight="1">
      <x:c r="A21" s="62" t="s">
        <x:v>193</x:v>
      </x:c>
      <x:c r="B21" s="80" t="str">
        <x:f>IF(AND(B10&gt;=7,B18&gt;=7),"OUTCOME",IF(AND(B10&gt;=7,B18&lt;7),"USAGE",IF(AND(B10&lt;7,B18&gt;=7),"USAGE (an toàn)","SEAT hoặc HYBRID")))</x:f>
        <x:v>SEAT hoặc HYBRID</x:v>
      </x:c>
      <x:c r="C21" s="51"/>
      <x:c r="D21" s="51"/>
      <x:c r="E21" s="51"/>
      <x:c r="F21" s="51"/>
      <x:c r="G21" s="51"/>
      <x:c r="H21" s="51"/>
    </x:row>
    <x:row r="22" ht="15.75" customHeight="1">
      <x:c r="A22" s="50" t="s">
        <x:v>194</x:v>
      </x:c>
      <x:c r="B22" s="51"/>
      <x:c r="C22" s="51"/>
      <x:c r="D22" s="51"/>
      <x:c r="E22" s="51"/>
      <x:c r="F22" s="51"/>
      <x:c r="G22" s="51"/>
      <x:c r="H22" s="51"/>
    </x:row>
    <x:row r="23" ht="15.75" customHeight="1">
      <x:c r="A23" s="51"/>
      <x:c r="B23" s="51"/>
      <x:c r="C23" s="51"/>
      <x:c r="D23" s="51"/>
      <x:c r="E23" s="51"/>
      <x:c r="F23" s="51"/>
      <x:c r="G23" s="51"/>
      <x:c r="H23" s="51"/>
    </x:row>
    <x:row r="24" ht="15.75" customHeight="1">
      <x:c r="A24" s="52" t="s">
        <x:v>195</x:v>
      </x:c>
      <x:c r="B24" s="53"/>
      <x:c r="C24" s="53"/>
      <x:c r="D24" s="53"/>
      <x:c r="E24" s="53"/>
      <x:c r="F24" s="53"/>
      <x:c r="G24" s="53"/>
      <x:c r="H24" s="53"/>
    </x:row>
    <x:row r="25" ht="15.75" customHeight="1">
      <x:c r="A25" s="76" t="s">
        <x:v>196</x:v>
      </x:c>
      <x:c r="B25" s="76" t="s">
        <x:v>197</x:v>
      </x:c>
      <x:c r="C25" s="76" t="s">
        <x:v>198</x:v>
      </x:c>
      <x:c r="D25" s="76" t="s">
        <x:v>199</x:v>
      </x:c>
      <x:c r="E25" s="51"/>
      <x:c r="F25" s="51"/>
      <x:c r="G25" s="51"/>
      <x:c r="H25" s="51"/>
    </x:row>
    <x:row r="26" ht="100" customHeight="1">
      <x:c r="A26" s="55" t="str">
        <x:v>Microsoft 365 Copilot Business</x:v>
      </x:c>
      <x:c r="B26" s="55" t="str">
        <x:v>Seat / người dùng / tháng</x:v>
      </x:c>
      <x:c r="C26" s="55" t="str">
        <x:v>$18 KM năm đầu; giá gốc $21; trả năm; cần M365 nền</x:v>
      </x:c>
      <x:c r="D26" s="55" t="str">
        <x:v>https://www.microsoft.com/en-us/copilot/pricing/business</x:v>
      </x:c>
      <x:c r="E26" s="51"/>
      <x:c r="F26" s="51"/>
      <x:c r="G26" s="51"/>
      <x:c r="H26" s="51"/>
    </x:row>
    <x:row r="27" ht="100" customHeight="1">
      <x:c r="A27" s="55" t="str">
        <x:v>Atlassian Rovo (Search / Chat)</x:v>
      </x:c>
      <x:c r="B27" s="55" t="str">
        <x:v>Hybrid: plan seats + credits</x:v>
      </x:c>
      <x:c r="C27" s="55" t="str">
        <x:v>Gộp trong plan đủ điều kiện; vượt hạn mức $0.01/credit; không phải giá/FAQ</x:v>
      </x:c>
      <x:c r="D27" s="55" t="str">
        <x:v>https://www.atlassian.com/licensing/rovo</x:v>
      </x:c>
      <x:c r="E27" s="51"/>
      <x:c r="F27" s="51"/>
      <x:c r="G27" s="51"/>
      <x:c r="H27" s="51"/>
    </x:row>
    <x:row r="28" ht="15.75" customHeight="1">
      <x:c r="A28" s="51"/>
      <x:c r="B28" s="51"/>
      <x:c r="C28" s="51"/>
      <x:c r="D28" s="51"/>
      <x:c r="E28" s="51"/>
      <x:c r="F28" s="51"/>
      <x:c r="G28" s="51"/>
      <x:c r="H28" s="51"/>
    </x:row>
    <x:row r="29" ht="15.75" customHeight="1">
      <x:c r="A29" s="52" t="s">
        <x:v>200</x:v>
      </x:c>
      <x:c r="B29" s="53"/>
      <x:c r="C29" s="53"/>
      <x:c r="D29" s="53"/>
      <x:c r="E29" s="53"/>
      <x:c r="F29" s="53"/>
      <x:c r="G29" s="53"/>
      <x:c r="H29" s="53"/>
    </x:row>
    <x:row r="30" ht="36" customHeight="1">
      <x:c r="A30" s="54" t="s">
        <x:v>201</x:v>
      </x:c>
      <x:c r="B30" s="55" t="str">
        <x:v>HYBRID: $18/tenant/tháng + $0.23/FAQ hợp lệ</x:v>
      </x:c>
      <x:c r="C30" s="51"/>
      <x:c r="D30" s="51"/>
      <x:c r="E30" s="51"/>
      <x:c r="F30" s="51"/>
      <x:c r="G30" s="51"/>
      <x:c r="H30" s="51"/>
    </x:row>
    <x:row r="31" ht="51" customHeight="1">
      <x:c r="A31" s="54" t="s">
        <x:v>202</x:v>
      </x:c>
      <x:c r="B31" s="55" t="str">
        <x:v>Khớp gợi ý. Thu phí workspace để quản trị tài liệu; phần dùng chỉ tính FAQ đủ điều kiện. Không bán kết quả hoàn thành onboarding.</x:v>
      </x:c>
      <x:c r="C31" s="51"/>
      <x:c r="D31" s="51"/>
      <x:c r="E31" s="51"/>
      <x:c r="F31" s="51"/>
      <x:c r="G31" s="51"/>
      <x:c r="H31" s="51"/>
    </x:row>
    <x:row r="32" ht="36" customHeight="1">
      <x:c r="A32" s="54" t="s">
        <x:v>203</x:v>
      </x:c>
      <x:c r="B32" s="55" t="str">
        <x:v>Chọn tenant + FAQ xác nhận: $18/tháng và $0.23/FAQ; ở 450 FAQ/tháng, giá hiệu dụng $0.27/FAQ.</x:v>
      </x:c>
      <x:c r="C32" s="51"/>
      <x:c r="D32" s="51"/>
      <x:c r="E32" s="51"/>
      <x:c r="F32" s="51"/>
      <x:c r="G32" s="51"/>
      <x:c r="H32" s="51"/>
    </x:row>
    <x:row r="33" ht="36" customHeight="1">
      <x:c r="A33" s="54" t="s">
        <x:v>204</x:v>
      </x:c>
      <x:c r="B33" s="55" t="str">
        <x:v>Attribution 5/10, Autonomy 1/10: có eval offline; chưa có đồng thuận billing, tự chuyển HR hoặc đo containment thực tế.</x:v>
      </x:c>
      <x:c r="C33" s="51"/>
      <x:c r="D33" s="51"/>
      <x:c r="E33" s="51"/>
      <x:c r="F33" s="51"/>
      <x:c r="G33" s="51"/>
      <x:c r="H33" s="51"/>
    </x:row>
    <x:row r="34" ht="36" customHeight="1">
      <x:c r="A34" s="54" t="s">
        <x:v>205</x:v>
      </x:c>
      <x:c r="B34" s="55" t="str">
        <x:v>Ở 1.000 lượt thử: GM &lt;60% khi r&lt;24.25%; &lt;50% khi r&lt;17.83%; lỗ COGS khi r&lt;5.00% (hybrid thực).</x:v>
      </x:c>
      <x:c r="C34" s="51"/>
      <x:c r="D34" s="51"/>
      <x:c r="E34" s="51"/>
      <x:c r="F34" s="51"/>
      <x:c r="G34" s="51"/>
      <x:c r="H34" s="51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  <x:col min="2" max="2" width="65" hidden="0" customWidth="1"/>
  </x:cols>
  <x:sheetData>
    <x:row r="1" ht="24" customHeight="1">
      <x:c r="A1" s="48" t="s">
        <x:v>206</x:v>
      </x:c>
      <x:c r="B1" s="49"/>
      <x:c r="C1" s="49"/>
      <x:c r="D1" s="49"/>
      <x:c r="E1" s="49"/>
      <x:c r="F1" s="49"/>
      <x:c r="G1" s="49"/>
      <x:c r="H1" s="49"/>
    </x:row>
    <x:row r="2">
      <x:c r="A2" s="50" t="s">
        <x:v>207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">
        <x:v>208</x:v>
      </x:c>
      <x:c r="B4" s="53"/>
      <x:c r="C4" s="53"/>
      <x:c r="D4" s="53"/>
      <x:c r="E4" s="53"/>
      <x:c r="F4" s="53"/>
      <x:c r="G4" s="53"/>
      <x:c r="H4" s="53"/>
    </x:row>
    <x:row r="5">
      <x:c r="A5" s="54" t="s">
        <x:v>209</x:v>
      </x:c>
      <x:c r="B5" s="71" t="n">
        <x:v>121.5</x:v>
      </x:c>
      <x:c r="C5" s="51"/>
      <x:c r="D5" s="51"/>
      <x:c r="E5" s="51"/>
      <x:c r="F5" s="51"/>
      <x:c r="G5" s="51"/>
      <x:c r="H5" s="51"/>
    </x:row>
    <x:row r="6">
      <x:c r="A6" s="54" t="s">
        <x:v>210</x:v>
      </x:c>
      <x:c r="B6" s="75" t="n">
        <x:f>'2_Pricing'!B21</x:f>
        <x:v>0.7571526584362139</x:v>
      </x:c>
      <x:c r="C6" s="51"/>
      <x:c r="D6" s="51"/>
      <x:c r="E6" s="51"/>
      <x:c r="F6" s="51"/>
      <x:c r="G6" s="51"/>
      <x:c r="H6" s="51"/>
    </x:row>
    <x:row r="7" ht="36" customHeight="1">
      <x:c r="A7" s="54" t="s">
        <x:v>211</x:v>
      </x:c>
      <x:c r="B7" s="56" t="str">
        <x:v>SMB</x:v>
      </x:c>
      <x:c r="C7" s="51"/>
      <x:c r="D7" s="51"/>
      <x:c r="E7" s="51"/>
      <x:c r="F7" s="51"/>
      <x:c r="G7" s="51"/>
      <x:c r="H7" s="51"/>
    </x:row>
    <x:row r="8">
      <x:c r="A8" s="54" t="s">
        <x:v>212</x:v>
      </x:c>
      <x:c r="B8" s="59" t="n">
        <x:f>IF(B7="SMB",12,IF(B7="Mid",18,24))</x:f>
        <x:v>12</x:v>
      </x:c>
      <x:c r="C8" s="50" t="s">
        <x:v>213</x:v>
      </x:c>
      <x:c r="D8" s="50" t="s">
        <x:v>214</x:v>
      </x:c>
      <x:c r="E8" s="51"/>
      <x:c r="F8" s="51"/>
      <x:c r="G8" s="51"/>
      <x:c r="H8" s="51"/>
    </x:row>
    <x:row r="9">
      <x:c r="A9" s="62" t="s">
        <x:v>215</x:v>
      </x:c>
      <x:c r="B9" s="81" t="n">
        <x:f>B5*B6*B8</x:f>
        <x:v>1103.9285759999998</x:v>
      </x:c>
      <x:c r="C9" s="51"/>
      <x:c r="D9" s="50" t="s">
        <x:v>216</x:v>
      </x:c>
      <x:c r="E9" s="51"/>
      <x:c r="F9" s="51"/>
      <x:c r="G9" s="51"/>
      <x:c r="H9" s="51"/>
    </x:row>
    <x:row r="10">
      <x:c r="A10" s="54" t="s">
        <x:v>217</x:v>
      </x:c>
      <x:c r="B10" s="82" t="n">
        <x:f>B5*12</x:f>
        <x:v>1458</x:v>
      </x:c>
      <x:c r="C10" s="51"/>
      <x:c r="D10" s="51"/>
      <x:c r="E10" s="51"/>
      <x:c r="F10" s="51"/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>
      <x:c r="A12" s="52" t="s">
        <x:v>218</x:v>
      </x:c>
      <x:c r="B12" s="53"/>
      <x:c r="C12" s="53"/>
      <x:c r="D12" s="53"/>
      <x:c r="E12" s="53"/>
      <x:c r="F12" s="53"/>
      <x:c r="G12" s="53"/>
      <x:c r="H12" s="53"/>
    </x:row>
    <x:row r="13">
      <x:c r="A13" s="54" t="s">
        <x:v>219</x:v>
      </x:c>
      <x:c r="B13" s="71" t="n">
        <x:v>24000</x:v>
      </x:c>
      <x:c r="C13" s="51"/>
      <x:c r="D13" s="50" t="s">
        <x:v>220</x:v>
      </x:c>
      <x:c r="E13" s="51"/>
      <x:c r="F13" s="51"/>
      <x:c r="G13" s="51"/>
      <x:c r="H13" s="51"/>
    </x:row>
    <x:row r="14">
      <x:c r="A14" s="54" t="s">
        <x:v>221</x:v>
      </x:c>
      <x:c r="B14" s="57" t="n">
        <x:v>250</x:v>
      </x:c>
      <x:c r="C14" s="50" t="s">
        <x:v>222</x:v>
      </x:c>
      <x:c r="D14" s="51"/>
      <x:c r="E14" s="51"/>
      <x:c r="F14" s="51"/>
      <x:c r="G14" s="51"/>
      <x:c r="H14" s="51"/>
    </x:row>
    <x:row r="15">
      <x:c r="A15" s="54" t="s">
        <x:v>223</x:v>
      </x:c>
      <x:c r="B15" s="59" t="n">
        <x:f>IF(B10=0,0,B13/B10)</x:f>
        <x:v>16.46090534979424</x:v>
      </x:c>
      <x:c r="C15" s="51"/>
      <x:c r="D15" s="51"/>
      <x:c r="E15" s="51"/>
      <x:c r="F15" s="51"/>
      <x:c r="G15" s="51"/>
      <x:c r="H15" s="51"/>
    </x:row>
    <x:row r="16">
      <x:c r="A16" s="62" t="s">
        <x:v>224</x:v>
      </x:c>
      <x:c r="B16" s="83" t="n">
        <x:f>IF(B14=0,0,B15/B14)</x:f>
        <x:v>0.06584362139917696</x:v>
      </x:c>
      <x:c r="C16" s="50" t="s">
        <x:v>225</x:v>
      </x:c>
      <x:c r="D16" s="51"/>
      <x:c r="E16" s="51"/>
      <x:c r="F16" s="51"/>
      <x:c r="G16" s="51"/>
      <x:c r="H16" s="51"/>
    </x:row>
    <x:row r="17">
      <x:c r="A17" s="54" t="s">
        <x:v>226</x:v>
      </x:c>
      <x:c r="B17" s="74" t="str">
        <x:f>IF(B16&lt;=1,"KHẢ THI về mặt số học","BẤT KHẢ THI — ACV quá thấp để nuôi sales rep")</x:f>
        <x:v>KHẢ THI về mặt số học</x:v>
      </x:c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  <x:row r="19">
      <x:c r="A19" s="52" t="s">
        <x:v>227</x:v>
      </x:c>
      <x:c r="B19" s="53"/>
      <x:c r="C19" s="53"/>
      <x:c r="D19" s="53"/>
      <x:c r="E19" s="53"/>
      <x:c r="F19" s="53"/>
      <x:c r="G19" s="53"/>
      <x:c r="H19" s="53"/>
    </x:row>
    <x:row r="20">
      <x:c r="A20" s="54" t="s">
        <x:v>228</x:v>
      </x:c>
      <x:c r="B20" s="71" t="n">
        <x:v>60</x:v>
      </x:c>
      <x:c r="C20" s="51"/>
      <x:c r="D20" s="50" t="s">
        <x:v>229</x:v>
      </x:c>
      <x:c r="E20" s="51"/>
      <x:c r="F20" s="51"/>
      <x:c r="G20" s="51"/>
      <x:c r="H20" s="51"/>
    </x:row>
    <x:row r="21" ht="15.75" customHeight="1">
      <x:c r="A21" s="54" t="s">
        <x:v>230</x:v>
      </x:c>
      <x:c r="B21" s="58" t="n">
        <x:v>0.25</x:v>
      </x:c>
      <x:c r="C21" s="51"/>
      <x:c r="D21" s="51"/>
      <x:c r="E21" s="51"/>
      <x:c r="F21" s="51"/>
      <x:c r="G21" s="51"/>
      <x:c r="H21" s="51"/>
    </x:row>
    <x:row r="22" ht="15.75" customHeight="1">
      <x:c r="A22" s="54" t="s">
        <x:v>231</x:v>
      </x:c>
      <x:c r="B22" s="82" t="n">
        <x:f>IF(B21=0,0,B20/B21)</x:f>
        <x:v>240</x:v>
      </x:c>
      <x:c r="C22" s="51"/>
      <x:c r="D22" s="51"/>
      <x:c r="E22" s="51"/>
      <x:c r="F22" s="51"/>
      <x:c r="G22" s="51"/>
      <x:c r="H22" s="51"/>
    </x:row>
    <x:row r="23" ht="15.75" customHeight="1">
      <x:c r="A23" s="62" t="s">
        <x:v>232</x:v>
      </x:c>
      <x:c r="B23" s="84" t="n">
        <x:f>IF(B9=0,0,B22/B9)</x:f>
        <x:v>0.21740536952999398</x:v>
      </x:c>
      <x:c r="C23" s="51"/>
      <x:c r="D23" s="50" t="s">
        <x:v>233</x:v>
      </x:c>
      <x:c r="E23" s="51"/>
      <x:c r="F23" s="51"/>
      <x:c r="G23" s="51"/>
      <x:c r="H23" s="51"/>
    </x:row>
    <x:row r="24" ht="15.75" customHeight="1">
      <x:c r="A24" s="54" t="s">
        <x:v>165</x:v>
      </x:c>
      <x:c r="B24" s="74" t="str">
        <x:f>IF(B23&lt;=1,"Motion có sales KHẢ THI",IF(B23&lt;=3,"Căng — cần tăng giá hoặc giảm chi phí bán hàng","KHÔNG KHẢ THI — đi PLG hoặc Partner-Led"))</x:f>
        <x:v>Motion có sales KHẢ THI</x:v>
      </x:c>
      <x:c r="C24" s="51"/>
      <x:c r="D24" s="51"/>
      <x:c r="E24" s="51"/>
      <x:c r="F24" s="51"/>
      <x:c r="G24" s="51"/>
      <x:c r="H24" s="51"/>
    </x:row>
    <x:row r="25" ht="15.75" customHeight="1">
      <x:c r="A25" s="51"/>
      <x:c r="B25" s="51"/>
      <x:c r="C25" s="51"/>
      <x:c r="D25" s="51"/>
      <x:c r="E25" s="51"/>
      <x:c r="F25" s="51"/>
      <x:c r="G25" s="51"/>
      <x:c r="H25" s="51"/>
    </x:row>
    <x:row r="26" ht="15.75" customHeight="1">
      <x:c r="A26" s="52" t="s">
        <x:v>234</x:v>
      </x:c>
      <x:c r="B26" s="53"/>
      <x:c r="C26" s="53"/>
      <x:c r="D26" s="53"/>
      <x:c r="E26" s="53"/>
      <x:c r="F26" s="53"/>
      <x:c r="G26" s="53"/>
      <x:c r="H26" s="53"/>
    </x:row>
    <x:row r="27" ht="15.75" customHeight="1">
      <x:c r="A27" s="76" t="s">
        <x:v>235</x:v>
      </x:c>
      <x:c r="B27" s="76" t="s">
        <x:v>236</x:v>
      </x:c>
      <x:c r="C27" s="76" t="s">
        <x:v>237</x:v>
      </x:c>
      <x:c r="D27" s="76" t="s">
        <x:v>238</x:v>
      </x:c>
      <x:c r="E27" s="51"/>
      <x:c r="F27" s="51"/>
      <x:c r="G27" s="51"/>
      <x:c r="H27" s="51"/>
    </x:row>
    <x:row r="28" ht="15.75" customHeight="1">
      <x:c r="A28" s="54" t="s">
        <x:v>239</x:v>
      </x:c>
      <x:c r="B28" s="78" t="n">
        <x:v>3</x:v>
      </x:c>
      <x:c r="C28" s="78" t="n">
        <x:v>4</x:v>
      </x:c>
      <x:c r="D28" s="78" t="n">
        <x:v>2</x:v>
      </x:c>
      <x:c r="E28" s="51"/>
      <x:c r="F28" s="51"/>
      <x:c r="G28" s="51"/>
      <x:c r="H28" s="51"/>
    </x:row>
    <x:row r="29" ht="15.75" customHeight="1">
      <x:c r="A29" s="54" t="s">
        <x:v>240</x:v>
      </x:c>
      <x:c r="B29" s="78" t="n">
        <x:v>2</x:v>
      </x:c>
      <x:c r="C29" s="78" t="n">
        <x:v>4</x:v>
      </x:c>
      <x:c r="D29" s="78" t="n">
        <x:v>2</x:v>
      </x:c>
      <x:c r="E29" s="51"/>
      <x:c r="F29" s="51"/>
      <x:c r="G29" s="51"/>
      <x:c r="H29" s="51"/>
    </x:row>
    <x:row r="30" ht="15.75" customHeight="1">
      <x:c r="A30" s="54" t="s">
        <x:v>241</x:v>
      </x:c>
      <x:c r="B30" s="78" t="n">
        <x:v>2</x:v>
      </x:c>
      <x:c r="C30" s="78" t="n">
        <x:v>3</x:v>
      </x:c>
      <x:c r="D30" s="78" t="n">
        <x:v>1</x:v>
      </x:c>
      <x:c r="E30" s="51"/>
      <x:c r="F30" s="51"/>
      <x:c r="G30" s="51"/>
      <x:c r="H30" s="51"/>
    </x:row>
    <x:row r="31" ht="15.75" customHeight="1">
      <x:c r="A31" s="54" t="s">
        <x:v>242</x:v>
      </x:c>
      <x:c r="B31" s="78" t="n">
        <x:v>2</x:v>
      </x:c>
      <x:c r="C31" s="78" t="n">
        <x:v>3</x:v>
      </x:c>
      <x:c r="D31" s="78" t="n">
        <x:v>1</x:v>
      </x:c>
      <x:c r="E31" s="51"/>
      <x:c r="F31" s="51"/>
      <x:c r="G31" s="51"/>
      <x:c r="H31" s="51"/>
    </x:row>
    <x:row r="32" ht="15.75" customHeight="1">
      <x:c r="A32" s="54" t="s">
        <x:v>243</x:v>
      </x:c>
      <x:c r="B32" s="78" t="n">
        <x:v>3</x:v>
      </x:c>
      <x:c r="C32" s="78" t="n">
        <x:v>4</x:v>
      </x:c>
      <x:c r="D32" s="78" t="n">
        <x:v>3</x:v>
      </x:c>
      <x:c r="E32" s="51"/>
      <x:c r="F32" s="51"/>
      <x:c r="G32" s="51"/>
      <x:c r="H32" s="51"/>
    </x:row>
    <x:row r="33" ht="15.75" customHeight="1">
      <x:c r="A33" s="54" t="s">
        <x:v>244</x:v>
      </x:c>
      <x:c r="B33" s="78" t="n">
        <x:v>3</x:v>
      </x:c>
      <x:c r="C33" s="78" t="n">
        <x:v>4</x:v>
      </x:c>
      <x:c r="D33" s="78" t="n">
        <x:v>2</x:v>
      </x:c>
      <x:c r="E33" s="51"/>
      <x:c r="F33" s="51"/>
      <x:c r="G33" s="51"/>
      <x:c r="H33" s="51"/>
    </x:row>
    <x:row r="34" ht="15.75" customHeight="1">
      <x:c r="A34" s="62" t="s">
        <x:v>245</x:v>
      </x:c>
      <x:c r="B34" s="80" t="n">
        <x:f t="shared" ref="B34:D34" si="1">SUM(B28:B33)</x:f>
        <x:v>15</x:v>
      </x:c>
      <x:c r="C34" s="80" t="n">
        <x:f t="shared" si="1">SUM(C28:C33)</x:f>
        <x:v>22</x:v>
      </x:c>
      <x:c r="D34" s="80" t="n">
        <x:f t="shared" si="1">SUM(D28:D33)</x:f>
        <x:v>11</x:v>
      </x:c>
      <x:c r="E34" s="51"/>
      <x:c r="F34" s="51"/>
      <x:c r="G34" s="51"/>
      <x:c r="H34" s="51"/>
    </x:row>
    <x:row r="35" ht="15.75" customHeight="1">
      <x:c r="A35" s="62" t="s">
        <x:v>246</x:v>
      </x:c>
      <x:c r="B35" s="80" t="str">
        <x:f>IF(AND(B34&gt;=C34,B34&gt;=D34),"PLG",IF(C34&gt;=D34,"Sales-Led","Partner-Led"))</x:f>
        <x:v>Sales-Led</x:v>
      </x:c>
      <x:c r="C35" s="51"/>
      <x:c r="D35" s="51"/>
      <x:c r="E35" s="51"/>
      <x:c r="F35" s="51"/>
      <x:c r="G35" s="51"/>
      <x:c r="H35" s="51"/>
    </x:row>
    <x:row r="36" ht="15.75" customHeight="1">
      <x:c r="A36" s="51"/>
      <x:c r="B36" s="51"/>
      <x:c r="C36" s="51"/>
      <x:c r="D36" s="51"/>
      <x:c r="E36" s="51"/>
      <x:c r="F36" s="51"/>
      <x:c r="G36" s="51"/>
      <x:c r="H36" s="51"/>
    </x:row>
    <x:row r="37" ht="15.75" customHeight="1">
      <x:c r="A37" s="52" t="s">
        <x:v>247</x:v>
      </x:c>
      <x:c r="B37" s="53"/>
      <x:c r="C37" s="53"/>
      <x:c r="D37" s="53"/>
      <x:c r="E37" s="53"/>
      <x:c r="F37" s="53"/>
      <x:c r="G37" s="53"/>
      <x:c r="H37" s="53"/>
    </x:row>
    <x:row r="38" ht="36" customHeight="1">
      <x:c r="A38" s="54" t="s">
        <x:v>248</x:v>
      </x:c>
      <x:c r="B38" s="55" t="str">
        <x:v>Sales-Led (founder-led, địa phương)</x:v>
      </x:c>
      <x:c r="C38" s="51"/>
      <x:c r="D38" s="50" t="s">
        <x:v>249</x:v>
      </x:c>
      <x:c r="E38" s="51"/>
      <x:c r="F38" s="51"/>
      <x:c r="G38" s="51"/>
      <x:c r="H38" s="51"/>
    </x:row>
    <x:row r="39" ht="36" customHeight="1">
      <x:c r="A39" s="54" t="s">
        <x:v>250</x:v>
      </x:c>
      <x:c r="B39" s="55" t="str">
        <x:v>Không áp dụng - không chọn Partner-Led</x:v>
      </x:c>
      <x:c r="C39" s="51"/>
      <x:c r="D39" s="50" t="s">
        <x:v>251</x:v>
      </x:c>
      <x:c r="E39" s="51"/>
      <x:c r="F39" s="51"/>
      <x:c r="G39" s="51"/>
      <x:c r="H39" s="51"/>
    </x:row>
    <x:row r="40" ht="36" customHeight="1">
      <x:c r="A40" s="54" t="s">
        <x:v>252</x:v>
      </x:c>
      <x:c r="B40" s="55" t="str">
        <x:v>Chưa; chưa xác nhận partner</x:v>
      </x:c>
      <x:c r="C40" s="51"/>
      <x:c r="D40" s="51"/>
      <x:c r="E40" s="51"/>
      <x:c r="F40" s="51"/>
      <x:c r="G40" s="51"/>
      <x:c r="H40" s="51"/>
    </x:row>
    <x:row r="41" ht="36" customHeight="1">
      <x:c r="A41" s="54" t="s">
        <x:v>253</x:v>
      </x:c>
      <x:c r="B41" s="55" t="str">
        <x:v>Không áp dụng; chưa có cam kết giới thiệu khách</x:v>
      </x:c>
      <x:c r="C41" s="51"/>
      <x:c r="D41" s="51"/>
      <x:c r="E41" s="51"/>
      <x:c r="F41" s="51"/>
      <x:c r="G41" s="51"/>
      <x:c r="H41" s="51"/>
    </x:row>
    <x:row r="42" ht="51" customHeight="1">
      <x:c r="A42" s="54" t="s">
        <x:v>254</x:v>
      </x:c>
      <x:c r="B42" s="55" t="str">
        <x:v>CPO $60/win25% chưa đo. Stress $120/win15%: CAC $800; khi ARPU$100/GM60%, budget$720 thì vượt 1.11x. Dừng scale, kiểm tra ICP/giá trước tuyển AE.</x:v>
      </x:c>
      <x:c r="C42" s="51"/>
      <x:c r="D42" s="50" t="s">
        <x:v>255</x:v>
      </x:c>
      <x:c r="E42" s="51"/>
      <x:c r="F42" s="51"/>
      <x:c r="G42" s="51"/>
      <x:c r="H42" s="51"/>
    </x:row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7">
      <x:formula1>"SMB,Mid,Enterprise"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4" width="34" customWidth="1"/>
    <x:col min="5" max="8" width="15" customWidth="1"/>
    <x:col min="9" max="26" width="8.710000038146973" customWidth="1"/>
    <x:col min="2" max="2" width="43" hidden="0" customWidth="1"/>
    <x:col min="3" max="3" width="43" hidden="0" customWidth="1"/>
    <x:col min="4" max="4" width="43" hidden="0" customWidth="1"/>
  </x:cols>
  <x:sheetData>
    <x:row r="1" ht="24" customHeight="1">
      <x:c r="A1" s="48" t="s">
        <x:v>256</x:v>
      </x:c>
      <x:c r="B1" s="49"/>
      <x:c r="C1" s="49"/>
      <x:c r="D1" s="49"/>
      <x:c r="E1" s="49"/>
      <x:c r="F1" s="49"/>
      <x:c r="G1" s="49"/>
      <x:c r="H1" s="49"/>
    </x:row>
    <x:row r="2">
      <x:c r="A2" s="50" t="s">
        <x:v>257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">
        <x:v>258</x:v>
      </x:c>
      <x:c r="B4" s="53"/>
      <x:c r="C4" s="53"/>
      <x:c r="D4" s="53"/>
      <x:c r="E4" s="53"/>
      <x:c r="F4" s="53"/>
      <x:c r="G4" s="53"/>
      <x:c r="H4" s="53"/>
    </x:row>
    <x:row r="5" ht="36" customHeight="1">
      <x:c r="A5" s="54" t="s">
        <x:v>259</x:v>
      </x:c>
      <x:c r="B5" s="55" t="str">
        <x:v>08:00-09:00, ngày nhận việc/tuần đầu (giả thuyết cần phỏng vấn)</x:v>
      </x:c>
      <x:c r="C5" s="51"/>
      <x:c r="D5" s="51"/>
      <x:c r="E5" s="51"/>
      <x:c r="F5" s="51"/>
      <x:c r="G5" s="51"/>
      <x:c r="H5" s="51"/>
    </x:row>
    <x:row r="6" ht="36" customHeight="1">
      <x:c r="A6" s="54" t="s">
        <x:v>260</x:v>
      </x:c>
      <x:c r="B6" s="55" t="str">
        <x:v>Tìm giấy tờ, giờ làm, quy trình và người liên hệ; gửi lại câu hỏi cho HR</x:v>
      </x:c>
      <x:c r="C6" s="51"/>
      <x:c r="D6" s="51"/>
      <x:c r="E6" s="51"/>
      <x:c r="F6" s="51"/>
      <x:c r="G6" s="51"/>
      <x:c r="H6" s="51"/>
    </x:row>
    <x:row r="7" ht="36" customHeight="1">
      <x:c r="A7" s="54" t="s">
        <x:v>261</x:v>
      </x:c>
      <x:c r="B7" s="55" t="str">
        <x:v>Microsoft Teams - kênh nhân viên mới (giả định ICP dùng M365)</x:v>
      </x:c>
      <x:c r="C7" s="51"/>
      <x:c r="D7" s="51"/>
      <x:c r="E7" s="51"/>
      <x:c r="F7" s="51"/>
      <x:c r="G7" s="51"/>
      <x:c r="H7" s="51"/>
    </x:row>
    <x:row r="8" ht="36" customHeight="1">
      <x:c r="A8" s="54" t="s">
        <x:v>262</x:v>
      </x:c>
      <x:c r="B8" s="55" t="str">
        <x:v>Tab Teams trong kênh Onboarding mở giao diện P-145; deep-link FAQ và nguồn. Dự kiến tích hợp, chưa có triển khai Teams.</x:v>
      </x:c>
      <x:c r="C8" s="51"/>
      <x:c r="D8" s="50" t="s">
        <x:v>263</x:v>
      </x:c>
      <x:c r="E8" s="51"/>
      <x:c r="F8" s="51"/>
      <x:c r="G8" s="51"/>
      <x:c r="H8" s="51"/>
    </x:row>
    <x:row r="9">
      <x:c r="A9" s="51"/>
      <x:c r="B9" s="51"/>
      <x:c r="C9" s="51"/>
      <x:c r="D9" s="51"/>
      <x:c r="E9" s="51"/>
      <x:c r="F9" s="51"/>
      <x:c r="G9" s="51"/>
      <x:c r="H9" s="51"/>
    </x:row>
    <x:row r="10">
      <x:c r="A10" s="52" t="s">
        <x:v>264</x:v>
      </x:c>
      <x:c r="B10" s="53"/>
      <x:c r="C10" s="53"/>
      <x:c r="D10" s="53"/>
      <x:c r="E10" s="53"/>
      <x:c r="F10" s="53"/>
      <x:c r="G10" s="53"/>
      <x:c r="H10" s="53"/>
    </x:row>
    <x:row r="11">
      <x:c r="A11" s="76"/>
      <x:c r="B11" s="76" t="s">
        <x:v>265</x:v>
      </x:c>
      <x:c r="C11" s="76" t="s">
        <x:v>266</x:v>
      </x:c>
      <x:c r="D11" s="76" t="s">
        <x:v>267</x:v>
      </x:c>
      <x:c r="E11" s="51"/>
      <x:c r="F11" s="51"/>
      <x:c r="G11" s="51"/>
      <x:c r="H11" s="51"/>
    </x:row>
    <x:row r="12" ht="76" customHeight="1">
      <x:c r="A12" s="54" t="s">
        <x:v>268</x:v>
      </x:c>
      <x:c r="B12" s="55" t="str">
        <x:v>Sales-Led: Trường An tiếp cận HR trực tiếp</x:v>
      </x:c>
      <x:c r="C12" s="55" t="str">
        <x:v>Sales-Led: demo theo tài liệu đã phê duyệt</x:v>
      </x:c>
      <x:c r="D12" s="55" t="str">
        <x:v>Sales-Led: mở rộng cùng ICP nếu đạt gate</x:v>
      </x:c>
      <x:c r="E12" s="51"/>
      <x:c r="F12" s="51"/>
      <x:c r="G12" s="51"/>
      <x:c r="H12" s="51"/>
    </x:row>
    <x:row r="13" ht="76" customHeight="1">
      <x:c r="A13" s="54" t="s">
        <x:v>269</x:v>
      </x:c>
      <x:c r="B13" s="55" t="str">
        <x:v>2 pilot thiết kế; chưa có khách xác nhận</x:v>
      </x:c>
      <x:c r="C13" s="55" t="str">
        <x:v>3 tenant trả phí; 6 cơ hội đủ điều kiện/tháng</x:v>
      </x:c>
      <x:c r="D13" s="55" t="str">
        <x:v>8 tenant trả phí tổng cộng; mục tiêu từ tháng 4</x:v>
      </x:c>
      <x:c r="E13" s="51"/>
      <x:c r="F13" s="51"/>
      <x:c r="G13" s="51"/>
      <x:c r="H13" s="51"/>
    </x:row>
    <x:row r="14" ht="76" customHeight="1">
      <x:c r="A14" s="54" t="s">
        <x:v>270</x:v>
      </x:c>
      <x:c r="B14" s="55" t="str">
        <x:v>Phỏng vấn 8 HR ở doanh nghiệp 50-200 nhân sự</x:v>
      </x:c>
      <x:c r="C14" s="55" t="str">
        <x:v>Pilot 30 ngày; 1.000 lượt thử/tenant/tháng mục tiêu</x:v>
      </x:c>
      <x:c r="D14" s="55" t="str">
        <x:v>Chuẩn hóa checklist triển khai và hợp đồng</x:v>
      </x:c>
      <x:c r="E14" s="51"/>
      <x:c r="F14" s="51"/>
      <x:c r="G14" s="51"/>
      <x:c r="H14" s="51"/>
    </x:row>
    <x:row r="15" ht="76" customHeight="1">
      <x:c r="A15" s="54" t="s">
        <x:v>271</x:v>
      </x:c>
      <x:c r="B15" s="55" t="str">
        <x:v>Chốt quyền dữ liệu, phạm vi FAQ, tiêu chí tính phí</x:v>
      </x:c>
      <x:c r="C15" s="55" t="str">
        <x:v>Đo xác nhận + mở lại 7 ngày; QA 10%</x:v>
      </x:c>
      <x:c r="D15" s="55" t="str">
        <x:v>Chỉ tăng tiếp cận khi CAC thực &lt;= ngân sách</x:v>
      </x:c>
      <x:c r="E15" s="51"/>
      <x:c r="F15" s="51"/>
      <x:c r="G15" s="51"/>
      <x:c r="H15" s="51"/>
    </x:row>
    <x:row r="16" ht="76" customHeight="1">
      <x:c r="A16" s="54" t="s">
        <x:v>272</x:v>
      </x:c>
      <x:c r="B16" s="55" t="str">
        <x:v>Đánh giá 100 FAQ giữ kín + 20 ca ngoài phạm vi</x:v>
      </x:c>
      <x:c r="C16" s="55" t="str">
        <x:v>Gắn Teams tab và xử lý HR handoff; chưa triển khai</x:v>
      </x:c>
      <x:c r="D16" s="55" t="str">
        <x:v>Giới hạn hỗ trợ; rà đủ tải QA/infra trước thêm tenant</x:v>
      </x:c>
      <x:c r="E16" s="51"/>
      <x:c r="F16" s="51"/>
      <x:c r="G16" s="51"/>
      <x:c r="H16" s="51"/>
    </x:row>
    <x:row r="17" ht="76" customHeight="1">
      <x:c r="A17" s="54" t="s">
        <x:v>273</x:v>
      </x:c>
      <x:c r="B17" s="55" t="str">
        <x:v>8 phỏng vấn; 2 thư đồng ý pilot; 100% dữ liệu được phép</x:v>
      </x:c>
      <x:c r="C17" s="55" t="str">
        <x:v>r&gt;=45%; GM&gt;=60%; 3 trả phí; CAC&lt;= $1,103.93; &lt;=3 câu hỏi One-Pager</x:v>
      </x:c>
      <x:c r="D17" s="55" t="str">
        <x:v>8 tenant; giữ GM&gt;=60%, payback&lt;=12 tháng; không mở rộng nếu không đạt</x:v>
      </x:c>
      <x:c r="E17" s="51"/>
      <x:c r="F17" s="51"/>
      <x:c r="G17" s="51"/>
      <x:c r="H17" s="51"/>
    </x:row>
    <x:row r="18" ht="76" customHeight="1">
      <x:c r="A18" s="54" t="s">
        <x:v>274</x:v>
      </x:c>
      <x:c r="B18" s="55" t="str">
        <x:v>Đinh Trường An - chủ trì; HR pilot duyệt nội dung</x:v>
      </x:c>
      <x:c r="C18" s="55" t="str">
        <x:v>Đinh Trường An - kỹ thuật/sales; HR xác nhận FAQ</x:v>
      </x:c>
      <x:c r="D18" s="55" t="str">
        <x:v>Đinh Trường An - theo dõi kinh tế &amp; triển khai</x:v>
      </x:c>
      <x:c r="E18" s="51"/>
      <x:c r="F18" s="51"/>
      <x:c r="G18" s="51"/>
      <x:c r="H18" s="51"/>
    </x:row>
    <x:row r="19">
      <x:c r="A19" s="50" t="s">
        <x:v>275</x:v>
      </x:c>
      <x:c r="B19" s="51"/>
      <x:c r="C19" s="51"/>
      <x:c r="D19" s="51"/>
      <x:c r="E19" s="51"/>
      <x:c r="F19" s="51"/>
      <x:c r="G19" s="51"/>
      <x:c r="H19" s="51"/>
    </x:row>
    <x:row r="20">
      <x:c r="A20" s="51"/>
      <x:c r="B20" s="51"/>
      <x:c r="C20" s="51"/>
      <x:c r="D20" s="51"/>
      <x:c r="E20" s="51"/>
      <x:c r="F20" s="51"/>
      <x:c r="G20" s="51"/>
      <x:c r="H20" s="51"/>
    </x:row>
    <x:row r="21" ht="15.75" customHeight="1">
      <x:c r="A21" s="52" t="s">
        <x:v>276</x:v>
      </x:c>
      <x:c r="B21" s="53"/>
      <x:c r="C21" s="53"/>
      <x:c r="D21" s="53"/>
      <x:c r="E21" s="53"/>
      <x:c r="F21" s="53"/>
      <x:c r="G21" s="53"/>
      <x:c r="H21" s="53"/>
    </x:row>
    <x:row r="22" ht="15.75" customHeight="1">
      <x:c r="A22" s="76" t="s">
        <x:v>277</x:v>
      </x:c>
      <x:c r="B22" s="76" t="s">
        <x:v>278</x:v>
      </x:c>
      <x:c r="C22" s="76" t="s">
        <x:v>279</x:v>
      </x:c>
      <x:c r="D22" s="76" t="s">
        <x:v>280</x:v>
      </x:c>
      <x:c r="E22" s="51"/>
      <x:c r="F22" s="51"/>
      <x:c r="G22" s="51"/>
      <x:c r="H22" s="51"/>
    </x:row>
    <x:row r="23" ht="102" customHeight="1">
      <x:c r="A23" s="54" t="s">
        <x:v>281</x:v>
      </x:c>
      <x:c r="B23" s="55" t="str">
        <x:v>Rồi - eval offline, chưa eval billing</x:v>
      </x:c>
      <x:c r="C23" s="55" t="str">
        <x:v>58 câu: Recall@3 38/42; đúng đủ 19/42; dẫn nguồn 25/26. Chạy thêm eval FAQ &amp; xác nhận người dùng.</x:v>
      </x:c>
      <x:c r="D23" s="55" t="str">
        <x:v>Đinh Trường An: có kết quả 07/10; eval mới 22/10/2026</x:v>
      </x:c>
      <x:c r="E23" s="51"/>
      <x:c r="F23" s="51"/>
      <x:c r="G23" s="51"/>
      <x:c r="H23" s="51"/>
    </x:row>
    <x:row r="24" ht="102" customHeight="1">
      <x:c r="A24" s="54" t="s">
        <x:v>282</x:v>
      </x:c>
      <x:c r="B24" s="55" t="str">
        <x:v>Rồi - bản Q&amp;A phân tích; chưa kiểm chứng vận hành</x:v>
      </x:c>
      <x:c r="C24" s="55" t="str">
        <x:v>Sai: dẫn nguồn/HR; dữ liệu: quyền truy cập và chính sách API; dừng dịch vụ: xuất/xóa cần nghiệm thu. Chi tiết README.</x:v>
      </x:c>
      <x:c r="D24" s="55" t="str">
        <x:v>Đinh Trường An; review HR/IT trước pilot 26/10/2026</x:v>
      </x:c>
      <x:c r="E24" s="51"/>
      <x:c r="F24" s="51"/>
      <x:c r="G24" s="51"/>
      <x:c r="H24" s="51"/>
    </x:row>
    <x:row r="25" ht="102" customHeight="1">
      <x:c r="A25" s="54" t="s">
        <x:v>283</x:v>
      </x:c>
      <x:c r="B25" s="55" t="str">
        <x:v>Chưa</x:v>
      </x:c>
      <x:c r="C25" s="55" t="str">
        <x:v>2 doanh nghiệp chưa chọn/chưa liên hệ xác nhận; dự kiến pilot 30 ngày từ 01/11/2026, đo r/chi phí/CAC.</x:v>
      </x:c>
      <x:c r="D25" s="55" t="str">
        <x:v>Đinh Trường An; báo cáo tổng kết 08/12/2026</x:v>
      </x:c>
      <x:c r="E25" s="51"/>
      <x:c r="F25" s="51"/>
      <x:c r="G25" s="51"/>
      <x:c r="H25" s="51"/>
    </x:row>
    <x:row r="26" ht="15.75" customHeight="1">
      <x:c r="A26" s="50" t="s">
        <x:v>284</x:v>
      </x:c>
      <x:c r="B26" s="51"/>
      <x:c r="C26" s="51"/>
      <x:c r="D26" s="51"/>
      <x:c r="E26" s="51"/>
      <x:c r="F26" s="51"/>
      <x:c r="G26" s="51"/>
      <x:c r="H26" s="51"/>
    </x:row>
    <x:row r="27" ht="15.75" customHeight="1">
      <x:c r="A27" s="51"/>
      <x:c r="B27" s="51"/>
      <x:c r="C27" s="51"/>
      <x:c r="D27" s="51"/>
      <x:c r="E27" s="51"/>
      <x:c r="F27" s="51"/>
      <x:c r="G27" s="51"/>
      <x:c r="H27" s="51"/>
    </x:row>
    <x:row r="28" ht="15.75" customHeight="1">
      <x:c r="A28" s="52" t="s">
        <x:v>285</x:v>
      </x:c>
      <x:c r="B28" s="53"/>
      <x:c r="C28" s="53"/>
      <x:c r="D28" s="53"/>
      <x:c r="E28" s="53"/>
      <x:c r="F28" s="53"/>
      <x:c r="G28" s="53"/>
      <x:c r="H28" s="53"/>
    </x:row>
    <x:row r="29" ht="65" customHeight="1">
      <x:c r="A29" s="88" t="s">
        <x:v>286</x:v>
      </x:c>
      <x:c r="B29" s="55" t="str">
        <x:v>Chưa test nhóm khác; dự kiến 09/10, Trường An phụ trách</x:v>
      </x:c>
      <x:c r="C29" s="51"/>
      <x:c r="D29" s="51"/>
      <x:c r="E29" s="51"/>
      <x:c r="F29" s="51"/>
      <x:c r="G29" s="51"/>
      <x:c r="H29" s="51"/>
    </x:row>
    <x:row r="30" ht="65" customHeight="1">
      <x:c r="A30" s="88" t="s">
        <x:v>287</x:v>
      </x:c>
      <x:c r="B30" s="55" t="str">
        <x:v>Chưa test nhóm khác; dự kiến 09/10, Trường An phụ trách</x:v>
      </x:c>
      <x:c r="C30" s="51"/>
      <x:c r="D30" s="51"/>
      <x:c r="E30" s="51"/>
      <x:c r="F30" s="51"/>
      <x:c r="G30" s="51"/>
      <x:c r="H30" s="51"/>
    </x:row>
    <x:row r="31" ht="65" customHeight="1">
      <x:c r="A31" s="88" t="s">
        <x:v>288</x:v>
      </x:c>
      <x:c r="B31" s="55" t="str">
        <x:v>Chưa test nhóm khác; dự kiến 09/10, Trường An phụ trách</x:v>
      </x:c>
      <x:c r="C31" s="51"/>
      <x:c r="D31" s="51"/>
      <x:c r="E31" s="51"/>
      <x:c r="F31" s="51"/>
      <x:c r="G31" s="51"/>
      <x:c r="H31" s="51"/>
    </x:row>
    <x:row r="32" ht="65" customHeight="1">
      <x:c r="A32" s="88" t="s">
        <x:v>289</x:v>
      </x:c>
      <x:c r="B32" s="55" t="str">
        <x:v>Chưa đo; mục tiêu &lt;=3 câu hỏi</x:v>
      </x:c>
      <x:c r="C32" s="51"/>
      <x:c r="D32" s="51"/>
      <x:c r="E32" s="51"/>
      <x:c r="F32" s="51"/>
      <x:c r="G32" s="51"/>
      <x:c r="H32" s="51"/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30" customWidth="1"/>
    <x:col min="3" max="3" width="20" customWidth="1"/>
    <x:col min="4" max="4" width="16" customWidth="1"/>
    <x:col min="5" max="5" width="56" customWidth="1"/>
    <x:col min="6" max="8" width="15" customWidth="1"/>
    <x:col min="9" max="26" width="8.710000038146973" customWidth="1"/>
  </x:cols>
  <x:sheetData>
    <x:row r="1" ht="24" customHeight="1">
      <x:c r="A1" s="48" t="s">
        <x:v>290</x:v>
      </x:c>
      <x:c r="B1" s="49"/>
      <x:c r="C1" s="49"/>
      <x:c r="D1" s="49"/>
      <x:c r="E1" s="49"/>
      <x:c r="F1" s="49"/>
      <x:c r="G1" s="49"/>
      <x:c r="H1" s="49"/>
    </x:row>
    <x:row r="2">
      <x:c r="A2" s="50" t="s">
        <x:v>291</x:v>
      </x:c>
      <x:c r="B2" s="51"/>
      <x:c r="C2" s="51"/>
      <x:c r="D2" s="51"/>
      <x:c r="E2" s="51"/>
      <x:c r="F2" s="51"/>
      <x:c r="G2" s="51"/>
      <x:c r="H2" s="51"/>
    </x:row>
    <x:row r="3" ht="95" customHeight="1">
      <x:c r="A3" s="54" t="s">
        <x:v>292</x:v>
      </x:c>
      <x:c r="B3" s="55" t="str">
        <x:v>08/10/2026 - GPT-4o-mini: $0.15 input / $0.075 cache / $0.60 output (1M token); xem README nguồn hiện hành. B18 dùng $0.15 hiệu dụng vì chưa đo cache hit.</x:v>
      </x:c>
      <x:c r="C3" s="51"/>
      <x:c r="D3" s="50" t="s">
        <x:v>293</x:v>
      </x:c>
      <x:c r="E3" s="51"/>
      <x:c r="F3" s="51"/>
      <x:c r="G3" s="51"/>
      <x:c r="H3" s="51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85" t="s">
        <x:v>294</x:v>
      </x:c>
      <x:c r="B5" s="85" t="s">
        <x:v>295</x:v>
      </x:c>
      <x:c r="C5" s="85" t="s">
        <x:v>296</x:v>
      </x:c>
      <x:c r="D5" s="85" t="s">
        <x:v>297</x:v>
      </x:c>
      <x:c r="E5" s="85" t="s">
        <x:v>298</x:v>
      </x:c>
      <x:c r="F5" s="51"/>
      <x:c r="G5" s="51"/>
      <x:c r="H5" s="51"/>
    </x:row>
    <x:row r="6">
      <x:c r="A6" s="86" t="s">
        <x:v>122</x:v>
      </x:c>
      <x:c r="B6" s="86" t="s">
        <x:v>299</x:v>
      </x:c>
      <x:c r="C6" s="86" t="s">
        <x:v>300</x:v>
      </x:c>
      <x:c r="D6" s="86" t="s">
        <x:v>301</x:v>
      </x:c>
      <x:c r="E6" s="87" t="s">
        <x:v>302</x:v>
      </x:c>
      <x:c r="F6" s="51"/>
      <x:c r="G6" s="51"/>
      <x:c r="H6" s="51"/>
    </x:row>
    <x:row r="7">
      <x:c r="A7" s="86" t="s">
        <x:v>122</x:v>
      </x:c>
      <x:c r="B7" s="86" t="s">
        <x:v>303</x:v>
      </x:c>
      <x:c r="C7" s="86" t="s">
        <x:v>304</x:v>
      </x:c>
      <x:c r="D7" s="86" t="s">
        <x:v>301</x:v>
      </x:c>
      <x:c r="E7" s="87" t="s">
        <x:v>302</x:v>
      </x:c>
      <x:c r="F7" s="51"/>
      <x:c r="G7" s="51"/>
      <x:c r="H7" s="51"/>
    </x:row>
    <x:row r="8">
      <x:c r="A8" s="86" t="s">
        <x:v>122</x:v>
      </x:c>
      <x:c r="B8" s="86" t="s">
        <x:v>305</x:v>
      </x:c>
      <x:c r="C8" s="86" t="s">
        <x:v>306</x:v>
      </x:c>
      <x:c r="D8" s="86" t="s">
        <x:v>301</x:v>
      </x:c>
      <x:c r="E8" s="87" t="s">
        <x:v>302</x:v>
      </x:c>
      <x:c r="F8" s="51"/>
      <x:c r="G8" s="51"/>
      <x:c r="H8" s="51"/>
    </x:row>
    <x:row r="9">
      <x:c r="A9" s="86" t="s">
        <x:v>122</x:v>
      </x:c>
      <x:c r="B9" s="86" t="s">
        <x:v>307</x:v>
      </x:c>
      <x:c r="C9" s="86" t="s">
        <x:v>308</x:v>
      </x:c>
      <x:c r="D9" s="86" t="s">
        <x:v>309</x:v>
      </x:c>
      <x:c r="E9" s="87" t="s">
        <x:v>302</x:v>
      </x:c>
      <x:c r="F9" s="51"/>
      <x:c r="G9" s="51"/>
      <x:c r="H9" s="51"/>
    </x:row>
    <x:row r="10">
      <x:c r="A10" s="86" t="s">
        <x:v>122</x:v>
      </x:c>
      <x:c r="B10" s="86" t="s">
        <x:v>310</x:v>
      </x:c>
      <x:c r="C10" s="86" t="s">
        <x:v>311</x:v>
      </x:c>
      <x:c r="D10" s="86" t="s">
        <x:v>301</x:v>
      </x:c>
      <x:c r="E10" s="87" t="s">
        <x:v>312</x:v>
      </x:c>
      <x:c r="F10" s="51"/>
      <x:c r="G10" s="51"/>
      <x:c r="H10" s="51"/>
    </x:row>
    <x:row r="11">
      <x:c r="A11" s="86" t="s">
        <x:v>122</x:v>
      </x:c>
      <x:c r="B11" s="86" t="s">
        <x:v>313</x:v>
      </x:c>
      <x:c r="C11" s="86" t="s">
        <x:v>314</x:v>
      </x:c>
      <x:c r="D11" s="86" t="s">
        <x:v>301</x:v>
      </x:c>
      <x:c r="E11" s="87" t="s">
        <x:v>315</x:v>
      </x:c>
      <x:c r="F11" s="51"/>
      <x:c r="G11" s="51"/>
      <x:c r="H11" s="51"/>
    </x:row>
    <x:row r="12">
      <x:c r="A12" s="86" t="s">
        <x:v>122</x:v>
      </x:c>
      <x:c r="B12" s="86" t="s">
        <x:v>316</x:v>
      </x:c>
      <x:c r="C12" s="86" t="s">
        <x:v>317</x:v>
      </x:c>
      <x:c r="D12" s="86" t="s">
        <x:v>309</x:v>
      </x:c>
      <x:c r="E12" s="87" t="s">
        <x:v>315</x:v>
      </x:c>
      <x:c r="F12" s="51"/>
      <x:c r="G12" s="51"/>
      <x:c r="H12" s="51"/>
    </x:row>
    <x:row r="13">
      <x:c r="A13" s="86" t="s">
        <x:v>122</x:v>
      </x:c>
      <x:c r="B13" s="86" t="s">
        <x:v>318</x:v>
      </x:c>
      <x:c r="C13" s="86" t="s">
        <x:v>319</x:v>
      </x:c>
      <x:c r="D13" s="86" t="s">
        <x:v>301</x:v>
      </x:c>
      <x:c r="E13" s="87" t="s">
        <x:v>320</x:v>
      </x:c>
      <x:c r="F13" s="51"/>
      <x:c r="G13" s="51"/>
      <x:c r="H13" s="51"/>
    </x:row>
    <x:row r="14">
      <x:c r="A14" s="86" t="s">
        <x:v>122</x:v>
      </x:c>
      <x:c r="B14" s="86" t="s">
        <x:v>321</x:v>
      </x:c>
      <x:c r="C14" s="86" t="s">
        <x:v>322</x:v>
      </x:c>
      <x:c r="D14" s="86" t="s">
        <x:v>301</x:v>
      </x:c>
      <x:c r="E14" s="87" t="s">
        <x:v>323</x:v>
      </x:c>
      <x:c r="F14" s="51"/>
      <x:c r="G14" s="51"/>
      <x:c r="H14" s="51"/>
    </x:row>
    <x:row r="15">
      <x:c r="A15" s="86" t="s">
        <x:v>324</x:v>
      </x:c>
      <x:c r="B15" s="86" t="s">
        <x:v>325</x:v>
      </x:c>
      <x:c r="C15" s="86" t="s">
        <x:v>326</x:v>
      </x:c>
      <x:c r="D15" s="86" t="s">
        <x:v>327</x:v>
      </x:c>
      <x:c r="E15" s="87" t="s">
        <x:v>328</x:v>
      </x:c>
      <x:c r="F15" s="51"/>
      <x:c r="G15" s="51"/>
      <x:c r="H15" s="51"/>
    </x:row>
    <x:row r="16">
      <x:c r="A16" s="86" t="s">
        <x:v>324</x:v>
      </x:c>
      <x:c r="B16" s="86" t="s">
        <x:v>329</x:v>
      </x:c>
      <x:c r="C16" s="86" t="s">
        <x:v>330</x:v>
      </x:c>
      <x:c r="D16" s="86" t="s">
        <x:v>327</x:v>
      </x:c>
      <x:c r="E16" s="87" t="s">
        <x:v>331</x:v>
      </x:c>
      <x:c r="F16" s="51"/>
      <x:c r="G16" s="51"/>
      <x:c r="H16" s="51"/>
    </x:row>
    <x:row r="17">
      <x:c r="A17" s="86" t="s">
        <x:v>324</x:v>
      </x:c>
      <x:c r="B17" s="86" t="s">
        <x:v>332</x:v>
      </x:c>
      <x:c r="C17" s="86" t="s">
        <x:v>333</x:v>
      </x:c>
      <x:c r="D17" s="86" t="s">
        <x:v>327</x:v>
      </x:c>
      <x:c r="E17" s="87" t="s">
        <x:v>334</x:v>
      </x:c>
      <x:c r="F17" s="51"/>
      <x:c r="G17" s="51"/>
      <x:c r="H17" s="51"/>
    </x:row>
    <x:row r="18">
      <x:c r="A18" s="86" t="s">
        <x:v>324</x:v>
      </x:c>
      <x:c r="B18" s="86" t="s">
        <x:v>335</x:v>
      </x:c>
      <x:c r="C18" s="86" t="s">
        <x:v>336</x:v>
      </x:c>
      <x:c r="D18" s="86" t="s">
        <x:v>327</x:v>
      </x:c>
      <x:c r="E18" s="87" t="s">
        <x:v>315</x:v>
      </x:c>
      <x:c r="F18" s="51"/>
      <x:c r="G18" s="51"/>
      <x:c r="H18" s="51"/>
    </x:row>
    <x:row r="19">
      <x:c r="A19" s="86" t="s">
        <x:v>337</x:v>
      </x:c>
      <x:c r="B19" s="86" t="s">
        <x:v>338</x:v>
      </x:c>
      <x:c r="C19" s="86" t="s">
        <x:v>339</x:v>
      </x:c>
      <x:c r="D19" s="86" t="s">
        <x:v>340</x:v>
      </x:c>
      <x:c r="E19" s="87" t="s">
        <x:v>341</x:v>
      </x:c>
      <x:c r="F19" s="51"/>
      <x:c r="G19" s="51"/>
      <x:c r="H19" s="51"/>
    </x:row>
    <x:row r="20">
      <x:c r="A20" s="86" t="s">
        <x:v>337</x:v>
      </x:c>
      <x:c r="B20" s="86" t="s">
        <x:v>342</x:v>
      </x:c>
      <x:c r="C20" s="86" t="s">
        <x:v>343</x:v>
      </x:c>
      <x:c r="D20" s="86" t="s">
        <x:v>340</x:v>
      </x:c>
      <x:c r="E20" s="87" t="s">
        <x:v>315</x:v>
      </x:c>
      <x:c r="F20" s="51"/>
      <x:c r="G20" s="51"/>
      <x:c r="H20" s="51"/>
    </x:row>
    <x:row r="21" ht="15.75" customHeight="1">
      <x:c r="A21" s="86" t="s">
        <x:v>337</x:v>
      </x:c>
      <x:c r="B21" s="86" t="s">
        <x:v>344</x:v>
      </x:c>
      <x:c r="C21" s="86" t="s">
        <x:v>345</x:v>
      </x:c>
      <x:c r="D21" s="86" t="s">
        <x:v>340</x:v>
      </x:c>
      <x:c r="E21" s="87" t="s">
        <x:v>346</x:v>
      </x:c>
      <x:c r="F21" s="51"/>
      <x:c r="G21" s="51"/>
      <x:c r="H21" s="51"/>
    </x:row>
    <x:row r="22" ht="15.75" customHeight="1">
      <x:c r="A22" s="86" t="s">
        <x:v>337</x:v>
      </x:c>
      <x:c r="B22" s="86" t="s">
        <x:v>347</x:v>
      </x:c>
      <x:c r="C22" s="86" t="s">
        <x:v>348</x:v>
      </x:c>
      <x:c r="D22" s="86" t="s">
        <x:v>340</x:v>
      </x:c>
      <x:c r="E22" s="87" t="s">
        <x:v>346</x:v>
      </x:c>
      <x:c r="F22" s="51"/>
      <x:c r="G22" s="51"/>
      <x:c r="H22" s="51"/>
    </x:row>
    <x:row r="23" ht="15.75" customHeight="1">
      <x:c r="A23" s="86" t="s">
        <x:v>349</x:v>
      </x:c>
      <x:c r="B23" s="86" t="s">
        <x:v>350</x:v>
      </x:c>
      <x:c r="C23" s="86" t="s">
        <x:v>351</x:v>
      </x:c>
      <x:c r="D23" s="86" t="s">
        <x:v>352</x:v>
      </x:c>
      <x:c r="E23" s="87" t="s">
        <x:v>353</x:v>
      </x:c>
      <x:c r="F23" s="51"/>
      <x:c r="G23" s="51"/>
      <x:c r="H23" s="51"/>
    </x:row>
    <x:row r="24" ht="15.75" customHeight="1">
      <x:c r="A24" s="86" t="s">
        <x:v>354</x:v>
      </x:c>
      <x:c r="B24" s="86" t="s">
        <x:v>355</x:v>
      </x:c>
      <x:c r="C24" s="86" t="s">
        <x:v>356</x:v>
      </x:c>
      <x:c r="D24" s="86" t="s">
        <x:v>357</x:v>
      </x:c>
      <x:c r="E24" s="87" t="s">
        <x:v>358</x:v>
      </x:c>
      <x:c r="F24" s="51"/>
      <x:c r="G24" s="51"/>
      <x:c r="H24" s="51"/>
    </x:row>
    <x:row r="25" ht="15.75" customHeight="1">
      <x:c r="A25" s="86" t="s">
        <x:v>354</x:v>
      </x:c>
      <x:c r="B25" s="86" t="s">
        <x:v>359</x:v>
      </x:c>
      <x:c r="C25" s="86" t="s">
        <x:v>360</x:v>
      </x:c>
      <x:c r="D25" s="86" t="s">
        <x:v>357</x:v>
      </x:c>
      <x:c r="E25" s="87" t="s">
        <x:v>361</x:v>
      </x:c>
      <x:c r="F25" s="51"/>
      <x:c r="G25" s="51"/>
      <x:c r="H25" s="51"/>
    </x:row>
    <x:row r="26" ht="15.75" customHeight="1">
      <x:c r="A26" s="86" t="s">
        <x:v>354</x:v>
      </x:c>
      <x:c r="B26" s="86" t="s">
        <x:v>362</x:v>
      </x:c>
      <x:c r="C26" s="86" t="s">
        <x:v>363</x:v>
      </x:c>
      <x:c r="D26" s="86" t="s">
        <x:v>309</x:v>
      </x:c>
      <x:c r="E26" s="87" t="s">
        <x:v>364</x:v>
      </x:c>
      <x:c r="F26" s="51"/>
      <x:c r="G26" s="51"/>
      <x:c r="H26" s="51"/>
    </x:row>
    <x:row r="27" ht="15.75" customHeight="1">
      <x:c r="A27" s="86" t="s">
        <x:v>365</x:v>
      </x:c>
      <x:c r="B27" s="86" t="s">
        <x:v>366</x:v>
      </x:c>
      <x:c r="C27" s="86" t="s">
        <x:v>367</x:v>
      </x:c>
      <x:c r="D27" s="86" t="s">
        <x:v>368</x:v>
      </x:c>
      <x:c r="E27" s="87" t="s">
        <x:v>369</x:v>
      </x:c>
      <x:c r="F27" s="51"/>
      <x:c r="G27" s="51"/>
      <x:c r="H27" s="51"/>
    </x:row>
    <x:row r="28" ht="15.75" customHeight="1">
      <x:c r="A28" s="86" t="s">
        <x:v>365</x:v>
      </x:c>
      <x:c r="B28" s="86" t="s">
        <x:v>370</x:v>
      </x:c>
      <x:c r="C28" s="86" t="s">
        <x:v>371</x:v>
      </x:c>
      <x:c r="D28" s="86" t="s">
        <x:v>368</x:v>
      </x:c>
      <x:c r="E28" s="87" t="s">
        <x:v>369</x:v>
      </x:c>
      <x:c r="F28" s="51"/>
      <x:c r="G28" s="51"/>
      <x:c r="H28" s="51"/>
    </x:row>
    <x:row r="29" ht="15.75" customHeight="1">
      <x:c r="A29" s="86" t="s">
        <x:v>365</x:v>
      </x:c>
      <x:c r="B29" s="86" t="s">
        <x:v>372</x:v>
      </x:c>
      <x:c r="C29" s="86" t="s">
        <x:v>373</x:v>
      </x:c>
      <x:c r="D29" s="86" t="s">
        <x:v>374</x:v>
      </x:c>
      <x:c r="E29" s="87" t="s">
        <x:v>375</x:v>
      </x:c>
      <x:c r="F29" s="51"/>
      <x:c r="G29" s="51"/>
      <x:c r="H29" s="51"/>
    </x:row>
    <x:row r="30" ht="15.75" customHeight="1">
      <x:c r="A30" s="86" t="s">
        <x:v>365</x:v>
      </x:c>
      <x:c r="B30" s="86" t="s">
        <x:v>376</x:v>
      </x:c>
      <x:c r="C30" s="86" t="s">
        <x:v>377</x:v>
      </x:c>
      <x:c r="D30" s="86" t="s">
        <x:v>378</x:v>
      </x:c>
      <x:c r="E30" s="87" t="s">
        <x:v>379</x:v>
      </x:c>
      <x:c r="F30" s="51"/>
      <x:c r="G30" s="51"/>
      <x:c r="H30" s="51"/>
    </x:row>
    <x:row r="31" ht="15.75" customHeight="1">
      <x:c r="A31" s="86" t="s">
        <x:v>365</x:v>
      </x:c>
      <x:c r="B31" s="86" t="s">
        <x:v>380</x:v>
      </x:c>
      <x:c r="C31" s="86" t="s">
        <x:v>381</x:v>
      </x:c>
      <x:c r="D31" s="86" t="s">
        <x:v>382</x:v>
      </x:c>
      <x:c r="E31" s="87" t="s">
        <x:v>379</x:v>
      </x:c>
      <x:c r="F31" s="51"/>
      <x:c r="G31" s="51"/>
      <x:c r="H31" s="51"/>
    </x:row>
    <x:row r="32" ht="15.75" customHeight="1">
      <x:c r="A32" s="86" t="s">
        <x:v>365</x:v>
      </x:c>
      <x:c r="B32" s="86" t="s">
        <x:v>383</x:v>
      </x:c>
      <x:c r="C32" s="86" t="s">
        <x:v>384</x:v>
      </x:c>
      <x:c r="D32" s="86" t="s">
        <x:v>378</x:v>
      </x:c>
      <x:c r="E32" s="87" t="s">
        <x:v>385</x:v>
      </x:c>
      <x:c r="F32" s="51"/>
      <x:c r="G32" s="51"/>
      <x:c r="H32" s="51"/>
    </x:row>
    <x:row r="33" ht="15.75" customHeight="1">
      <x:c r="A33" s="86" t="s">
        <x:v>365</x:v>
      </x:c>
      <x:c r="B33" s="86" t="s">
        <x:v>386</x:v>
      </x:c>
      <x:c r="C33" s="86" t="s">
        <x:v>387</x:v>
      </x:c>
      <x:c r="D33" s="86" t="s">
        <x:v>388</x:v>
      </x:c>
      <x:c r="E33" s="87" t="s">
        <x:v>385</x:v>
      </x:c>
      <x:c r="F33" s="51"/>
      <x:c r="G33" s="51"/>
      <x:c r="H33" s="51"/>
    </x:row>
    <x:row r="34" ht="15.75" customHeight="1">
      <x:c r="A34" s="86" t="s">
        <x:v>365</x:v>
      </x:c>
      <x:c r="B34" s="86" t="s">
        <x:v>389</x:v>
      </x:c>
      <x:c r="C34" s="86" t="s">
        <x:v>390</x:v>
      </x:c>
      <x:c r="D34" s="86" t="s">
        <x:v>391</x:v>
      </x:c>
      <x:c r="E34" s="87" t="s">
        <x:v>392</x:v>
      </x:c>
      <x:c r="F34" s="51"/>
      <x:c r="G34" s="51"/>
      <x:c r="H34" s="51"/>
    </x:row>
    <x:row r="35" ht="15.75" customHeight="1">
      <x:c r="A35" s="86" t="s">
        <x:v>393</x:v>
      </x:c>
      <x:c r="B35" s="86" t="s">
        <x:v>394</x:v>
      </x:c>
      <x:c r="C35" s="86" t="s">
        <x:v>395</x:v>
      </x:c>
      <x:c r="D35" s="86" t="s">
        <x:v>396</x:v>
      </x:c>
      <x:c r="E35" s="87" t="s">
        <x:v>397</x:v>
      </x:c>
      <x:c r="F35" s="51"/>
      <x:c r="G35" s="51"/>
      <x:c r="H35" s="51"/>
    </x:row>
    <x:row r="36" ht="15.75" customHeight="1">
      <x:c r="A36" s="86" t="s">
        <x:v>393</x:v>
      </x:c>
      <x:c r="B36" s="86" t="s">
        <x:v>398</x:v>
      </x:c>
      <x:c r="C36" s="86" t="s">
        <x:v>399</x:v>
      </x:c>
      <x:c r="D36" s="86" t="s">
        <x:v>396</x:v>
      </x:c>
      <x:c r="E36" s="87" t="s">
        <x:v>400</x:v>
      </x:c>
      <x:c r="F36" s="51"/>
      <x:c r="G36" s="51"/>
      <x:c r="H36" s="51"/>
    </x:row>
    <x:row r="37" ht="15.75" customHeight="1">
      <x:c r="A37" s="86" t="s">
        <x:v>393</x:v>
      </x:c>
      <x:c r="B37" s="86" t="s">
        <x:v>401</x:v>
      </x:c>
      <x:c r="C37" s="86" t="s">
        <x:v>402</x:v>
      </x:c>
      <x:c r="D37" s="86" t="s">
        <x:v>396</x:v>
      </x:c>
      <x:c r="E37" s="87" t="s">
        <x:v>403</x:v>
      </x:c>
      <x:c r="F37" s="51"/>
      <x:c r="G37" s="51"/>
      <x:c r="H37" s="51"/>
    </x:row>
    <x:row r="38" ht="15.75" customHeight="1">
      <x:c r="A38" s="86" t="s">
        <x:v>393</x:v>
      </x:c>
      <x:c r="B38" s="86" t="s">
        <x:v>404</x:v>
      </x:c>
      <x:c r="C38" s="86" t="s">
        <x:v>405</x:v>
      </x:c>
      <x:c r="D38" s="86" t="s">
        <x:v>213</x:v>
      </x:c>
      <x:c r="E38" s="87" t="s">
        <x:v>400</x:v>
      </x:c>
      <x:c r="F38" s="51"/>
      <x:c r="G38" s="51"/>
      <x:c r="H38" s="51"/>
    </x:row>
    <x:row r="39" ht="15.75" customHeight="1">
      <x:c r="A39" s="86" t="s">
        <x:v>393</x:v>
      </x:c>
      <x:c r="B39" s="86" t="s">
        <x:v>406</x:v>
      </x:c>
      <x:c r="C39" s="86" t="s">
        <x:v>407</x:v>
      </x:c>
      <x:c r="D39" s="86" t="s">
        <x:v>408</x:v>
      </x:c>
      <x:c r="E39" s="87" t="s">
        <x:v>409</x:v>
      </x:c>
      <x:c r="F39" s="51"/>
      <x:c r="G39" s="51"/>
      <x:c r="H39" s="51"/>
    </x:row>
    <x:row r="40" ht="15.75" customHeight="1">
      <x:c r="A40" s="86" t="s">
        <x:v>393</x:v>
      </x:c>
      <x:c r="B40" s="86" t="s">
        <x:v>410</x:v>
      </x:c>
      <x:c r="C40" s="86" t="s">
        <x:v>411</x:v>
      </x:c>
      <x:c r="D40" s="86" t="s">
        <x:v>412</x:v>
      </x:c>
      <x:c r="E40" s="87" t="s">
        <x:v>413</x:v>
      </x:c>
      <x:c r="F40" s="51"/>
      <x:c r="G40" s="51"/>
      <x:c r="H40" s="51"/>
    </x:row>
    <x:row r="41" ht="15.75" customHeight="1">
      <x:c r="A41" s="86" t="s">
        <x:v>393</x:v>
      </x:c>
      <x:c r="B41" s="86" t="s">
        <x:v>414</x:v>
      </x:c>
      <x:c r="C41" s="86" t="s">
        <x:v>415</x:v>
      </x:c>
      <x:c r="D41" s="86" t="s">
        <x:v>416</x:v>
      </x:c>
      <x:c r="E41" s="87" t="s">
        <x:v>417</x:v>
      </x:c>
      <x:c r="F41" s="51"/>
      <x:c r="G41" s="51"/>
      <x:c r="H41" s="51"/>
    </x:row>
    <x:row r="42" ht="15.75" customHeight="1">
      <x:c r="A42" s="51"/>
      <x:c r="B42" s="51"/>
      <x:c r="C42" s="51"/>
      <x:c r="D42" s="51"/>
      <x:c r="E42" s="51"/>
      <x:c r="F42" s="51"/>
      <x:c r="G42" s="51"/>
      <x:c r="H42" s="51"/>
    </x:row>
    <x:row r="43" ht="15.75" customHeight="1">
      <x:c r="A43" s="50" t="s">
        <x:v>418</x:v>
      </x:c>
      <x:c r="B43" s="51"/>
      <x:c r="C43" s="51"/>
      <x:c r="D43" s="51"/>
      <x:c r="E43" s="51"/>
      <x:c r="F43" s="51"/>
      <x:c r="G43" s="51"/>
      <x:c r="H43" s="51"/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